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B4EFDDD2-710D-4F01-9701-16F51CE6C871}" xr6:coauthVersionLast="47" xr6:coauthVersionMax="47" xr10:uidLastSave="{00000000-0000-0000-0000-000000000000}"/>
  <bookViews>
    <workbookView xWindow="-120" yWindow="-120" windowWidth="29040" windowHeight="15720" xr2:uid="{A8AE91F6-239B-4FA7-9637-A7ABC6894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3" i="1" l="1"/>
  <c r="I83" i="1"/>
  <c r="J77" i="1"/>
  <c r="J76" i="1"/>
  <c r="I76" i="1"/>
  <c r="I75" i="1"/>
  <c r="J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2" i="1"/>
  <c r="I2" i="1"/>
</calcChain>
</file>

<file path=xl/sharedStrings.xml><?xml version="1.0" encoding="utf-8"?>
<sst xmlns="http://schemas.openxmlformats.org/spreadsheetml/2006/main" count="370" uniqueCount="254">
  <si>
    <t>EIS NO.</t>
  </si>
  <si>
    <t>NAME</t>
  </si>
  <si>
    <t>FATHER NAME</t>
  </si>
  <si>
    <t>DESIGNATION</t>
  </si>
  <si>
    <t>GRADE</t>
  </si>
  <si>
    <t>DOB</t>
  </si>
  <si>
    <t>DOA</t>
  </si>
  <si>
    <t>PME</t>
  </si>
  <si>
    <t>Age</t>
  </si>
  <si>
    <t>Due PME</t>
  </si>
  <si>
    <t>MANISH              TIWARI</t>
  </si>
  <si>
    <t>RAMASHANKAR  TIWARI</t>
  </si>
  <si>
    <t>(LDC) CLERK</t>
  </si>
  <si>
    <t>II</t>
  </si>
  <si>
    <t>18/07/2011</t>
  </si>
  <si>
    <t>Mahendra Das</t>
  </si>
  <si>
    <t>Clerk Gr-II</t>
  </si>
  <si>
    <t>SUSHANT    GHOSH</t>
  </si>
  <si>
    <t>S.K. GHOSH</t>
  </si>
  <si>
    <t>Sr.OVERMAN</t>
  </si>
  <si>
    <t>A1</t>
  </si>
  <si>
    <t>21/07/1989</t>
  </si>
  <si>
    <t>KHAWAJA SAHANSHAH ALI</t>
  </si>
  <si>
    <t>HAZRAT ALI</t>
  </si>
  <si>
    <t>LAKSHUMAN RAM</t>
  </si>
  <si>
    <t>BHLOODER RAM</t>
  </si>
  <si>
    <t>24/03/2009</t>
  </si>
  <si>
    <t>ASHOK KUMAR SAO</t>
  </si>
  <si>
    <t>KEDAR SAO</t>
  </si>
  <si>
    <t>A</t>
  </si>
  <si>
    <t>14/06/2003</t>
  </si>
  <si>
    <t>DEVBRATA       SINHA</t>
  </si>
  <si>
    <t>N   D  SINHA</t>
  </si>
  <si>
    <t>FOREMAN INCHARGE (Elect)</t>
  </si>
  <si>
    <t>SANDEEP  KR. SRIVASTAVA</t>
  </si>
  <si>
    <t>DINESH KR. SRIWASTAVA</t>
  </si>
  <si>
    <t>YOGESH PRASAD SINGH</t>
  </si>
  <si>
    <t>VYASH SINGH</t>
  </si>
  <si>
    <t>FOREMAN (Mech.)</t>
  </si>
  <si>
    <t>B</t>
  </si>
  <si>
    <t>13/07/1992</t>
  </si>
  <si>
    <t>SHIV PRASAD</t>
  </si>
  <si>
    <t>DEO KARAN</t>
  </si>
  <si>
    <t>TELE OPERATOR</t>
  </si>
  <si>
    <t>D</t>
  </si>
  <si>
    <t>RADHE SHYAM</t>
  </si>
  <si>
    <t>RAM KISHUN</t>
  </si>
  <si>
    <t>ASST. FOREMAN (Mech.)</t>
  </si>
  <si>
    <t>C</t>
  </si>
  <si>
    <t>SHANTILAL</t>
  </si>
  <si>
    <t>NATHURAM</t>
  </si>
  <si>
    <t>FOREMAN  (Aux)</t>
  </si>
  <si>
    <t>MURLIDHAR SINGH KUSHWAHA</t>
  </si>
  <si>
    <t>RAMYAS SINGH KUSHWAHA</t>
  </si>
  <si>
    <t>SIMANCHAL</t>
  </si>
  <si>
    <t>RAGHOO</t>
  </si>
  <si>
    <t>SURVEYOR</t>
  </si>
  <si>
    <t>09/01/1992</t>
  </si>
  <si>
    <t>OM PRAKASH DUBEY</t>
  </si>
  <si>
    <t>RAM MILAN</t>
  </si>
  <si>
    <t>HEAD CHAINMAN</t>
  </si>
  <si>
    <t>22.03.2026</t>
  </si>
  <si>
    <t>MAGHEE</t>
  </si>
  <si>
    <t>E</t>
  </si>
  <si>
    <t>31/12/1988</t>
  </si>
  <si>
    <t>AZAD</t>
  </si>
  <si>
    <t>ABBAS  ALI</t>
  </si>
  <si>
    <t>CHAINMAN</t>
  </si>
  <si>
    <t>F</t>
  </si>
  <si>
    <t>18/10/1994</t>
  </si>
  <si>
    <t xml:space="preserve">DULALCHAND </t>
  </si>
  <si>
    <t>SHISHIR BHATTACHARYA</t>
  </si>
  <si>
    <t>RAM  NARAYAN</t>
  </si>
  <si>
    <t>DAYARAM</t>
  </si>
  <si>
    <t>21/08/1995</t>
  </si>
  <si>
    <t>Y. NAGESHWAR RAO</t>
  </si>
  <si>
    <t>Y. LADOO RAO</t>
  </si>
  <si>
    <t>10/08/1992</t>
  </si>
  <si>
    <t xml:space="preserve">ARVIND KUMAR TIWARI </t>
  </si>
  <si>
    <t>RAJA RAM</t>
  </si>
  <si>
    <t>BIMLENDU  SHEKHAR</t>
  </si>
  <si>
    <t>RAJNANDAN DAS</t>
  </si>
  <si>
    <t>OVERMAN</t>
  </si>
  <si>
    <t>UMESH   PRASAD</t>
  </si>
  <si>
    <t>SHYAM   NANDAN</t>
  </si>
  <si>
    <t>SCPA</t>
  </si>
  <si>
    <t>06/11/1999</t>
  </si>
  <si>
    <t>DURWASA</t>
  </si>
  <si>
    <t>RAM SAI</t>
  </si>
  <si>
    <t>MINING SIRDAR</t>
  </si>
  <si>
    <t>INDRAJEET</t>
  </si>
  <si>
    <t>JAIPAL</t>
  </si>
  <si>
    <t>ARVIND  SINGH  YADAV</t>
  </si>
  <si>
    <t>ANTU  SINGH</t>
  </si>
  <si>
    <t>05/01/2009</t>
  </si>
  <si>
    <t>ASHISH KUMAR RAI</t>
  </si>
  <si>
    <t>ANIL KUMAR RAI</t>
  </si>
  <si>
    <t>13/03/2003</t>
  </si>
  <si>
    <t>RAJ     KUMAR</t>
  </si>
  <si>
    <t>GANPAT</t>
  </si>
  <si>
    <t>05/02/2005</t>
  </si>
  <si>
    <t>MD. MUSTAQEEM</t>
  </si>
  <si>
    <t>EKHLAKH MD.</t>
  </si>
  <si>
    <t>ASST. FOREMAN (Elect.)</t>
  </si>
  <si>
    <t>ISTIYAQ   AHMED</t>
  </si>
  <si>
    <t>MUSTAQ AHMED</t>
  </si>
  <si>
    <t>17/09/1992</t>
  </si>
  <si>
    <t>SEO SANKAR</t>
  </si>
  <si>
    <t>MUNESWAR</t>
  </si>
  <si>
    <t>15/01/1991</t>
  </si>
  <si>
    <t>BABU CHARAN</t>
  </si>
  <si>
    <t>SOM NATH</t>
  </si>
  <si>
    <t>RAMJEE SAO</t>
  </si>
  <si>
    <t>DEOLAL  SAO</t>
  </si>
  <si>
    <t>SHIV KUMAR SINGH</t>
  </si>
  <si>
    <t>RAM KRIPAL SINGH</t>
  </si>
  <si>
    <t>c</t>
  </si>
  <si>
    <t>DHANANJAY Kr. SHARMA</t>
  </si>
  <si>
    <t>KRISHNA DEO RAI</t>
  </si>
  <si>
    <t>SURESH    PRASAD    SAHU</t>
  </si>
  <si>
    <t>SEODHAN        SAHU</t>
  </si>
  <si>
    <t>01/01/1997</t>
  </si>
  <si>
    <t>NARESH  SINGH</t>
  </si>
  <si>
    <t>SHANKAR SINGH</t>
  </si>
  <si>
    <t>19/01/1994</t>
  </si>
  <si>
    <t>MANOJ   KUMAR</t>
  </si>
  <si>
    <t>BHUNESWAR PRASAD</t>
  </si>
  <si>
    <t>SR. SCPA</t>
  </si>
  <si>
    <t>29/08/2000</t>
  </si>
  <si>
    <t>SAKIL   AHMAD</t>
  </si>
  <si>
    <t>KHALIL         AHMAD</t>
  </si>
  <si>
    <t>13/04/1992</t>
  </si>
  <si>
    <t>SANJAY   SINGH</t>
  </si>
  <si>
    <t>JANARDAN</t>
  </si>
  <si>
    <t>08/05/2000</t>
  </si>
  <si>
    <t>NARAYAN   JENA</t>
  </si>
  <si>
    <t>GANPATI</t>
  </si>
  <si>
    <t>SR. HEAD CHAINMAN</t>
  </si>
  <si>
    <t>30/06/1989</t>
  </si>
  <si>
    <t>JAGANNATH PANDA</t>
  </si>
  <si>
    <t>ANADI</t>
  </si>
  <si>
    <t>06/12/1989</t>
  </si>
  <si>
    <t>SUBHASH CH. KASHYAP</t>
  </si>
  <si>
    <t>KHATTOO RAM</t>
  </si>
  <si>
    <t>16/01/1998</t>
  </si>
  <si>
    <t>HIMANCHAL</t>
  </si>
  <si>
    <t>PANCHOO</t>
  </si>
  <si>
    <t>24/06/1993</t>
  </si>
  <si>
    <t>MASROOR      AHMAD</t>
  </si>
  <si>
    <t>SIDDIQUE       AHMAD</t>
  </si>
  <si>
    <t>FOREMAN INCHARGE  (Mech)</t>
  </si>
  <si>
    <t>04/05/1994</t>
  </si>
  <si>
    <t>RAM BISWAS VARMA</t>
  </si>
  <si>
    <t>BHAIYA LAL  VARMA</t>
  </si>
  <si>
    <t>SANJIV DANA</t>
  </si>
  <si>
    <t>S K.DANA</t>
  </si>
  <si>
    <t>01/03/1999</t>
  </si>
  <si>
    <t>JAINANDAN    PRASAD</t>
  </si>
  <si>
    <t>HARIHAR        SAI</t>
  </si>
  <si>
    <t>SAMEER DEBNATH</t>
  </si>
  <si>
    <t>G.C. DEBNATH</t>
  </si>
  <si>
    <t>26/04/1996</t>
  </si>
  <si>
    <t>AMRIT PRASAD</t>
  </si>
  <si>
    <t>RAMLAL</t>
  </si>
  <si>
    <t>FOREMAN  ( Elect)</t>
  </si>
  <si>
    <t>SATYAWADI</t>
  </si>
  <si>
    <t>SOMNATH</t>
  </si>
  <si>
    <t xml:space="preserve"> FOREMAN (Mech.)</t>
  </si>
  <si>
    <t>28/04/1990</t>
  </si>
  <si>
    <t>PURANCHAND</t>
  </si>
  <si>
    <t>RAMADHAR</t>
  </si>
  <si>
    <t xml:space="preserve"> FOREMAN (Elect.)</t>
  </si>
  <si>
    <t>CHANDAR</t>
  </si>
  <si>
    <t>DANDASHI</t>
  </si>
  <si>
    <t>11/03/1991</t>
  </si>
  <si>
    <t>SHIV RAM DALAI</t>
  </si>
  <si>
    <t>BAIRAGI</t>
  </si>
  <si>
    <t xml:space="preserve">ANUPAM DUTTA </t>
  </si>
  <si>
    <t>A K DUTTA</t>
  </si>
  <si>
    <t>22/11/1997</t>
  </si>
  <si>
    <t>SANJAY  KUMAR MANDAL</t>
  </si>
  <si>
    <t>N C MANDAL</t>
  </si>
  <si>
    <t>02/08/1991</t>
  </si>
  <si>
    <t>LAL BAHADUR     PAL</t>
  </si>
  <si>
    <t>KALI           CHARAN</t>
  </si>
  <si>
    <t>10/02/1994</t>
  </si>
  <si>
    <t>MANISH KUMAR CHAWDA</t>
  </si>
  <si>
    <t>JAYANTI LAL</t>
  </si>
  <si>
    <t>DHANENDRA KR. MISHRA</t>
  </si>
  <si>
    <t>SHRIDHAR PD. MISHRA</t>
  </si>
  <si>
    <t>ANIL KUMAR LAHRE</t>
  </si>
  <si>
    <t>P R LAHRE</t>
  </si>
  <si>
    <t>08/04/2009</t>
  </si>
  <si>
    <t>RAVI     KUMAR</t>
  </si>
  <si>
    <t>VEDPRAKASH</t>
  </si>
  <si>
    <t>24/11/2008</t>
  </si>
  <si>
    <t>VIKASH KUMAR SINGH</t>
  </si>
  <si>
    <t>SUDHAN SINGH</t>
  </si>
  <si>
    <t>17/06/2017</t>
  </si>
  <si>
    <t>RAJENDRA   PRASAD</t>
  </si>
  <si>
    <t>RAMAVTAR</t>
  </si>
  <si>
    <t>01/07/1992</t>
  </si>
  <si>
    <t>SASHIRANJAN   SINGH</t>
  </si>
  <si>
    <t>RANSWARATH  SINGH</t>
  </si>
  <si>
    <t>17/05/2000</t>
  </si>
  <si>
    <t>RAJESH RANJAN</t>
  </si>
  <si>
    <t>BHUNESHWAR YADAV</t>
  </si>
  <si>
    <t>SUSHOBHAN  BHOUMIK</t>
  </si>
  <si>
    <t>ALOK  BHOUMIK</t>
  </si>
  <si>
    <t>29/06/2009</t>
  </si>
  <si>
    <t>RAJ KUMAR</t>
  </si>
  <si>
    <t>JAGMOHAN</t>
  </si>
  <si>
    <t>LAXMAN</t>
  </si>
  <si>
    <t>DINA</t>
  </si>
  <si>
    <t>05/02/1990</t>
  </si>
  <si>
    <t xml:space="preserve">MALO MALLAH </t>
  </si>
  <si>
    <t>T. MALLAH</t>
  </si>
  <si>
    <t>16/03/1991</t>
  </si>
  <si>
    <t>BHAGWAN     NAHAK</t>
  </si>
  <si>
    <t>JATIYA         NAHAK</t>
  </si>
  <si>
    <t>22/06/1993</t>
  </si>
  <si>
    <t>RAJ KUMAR    SUKLA</t>
  </si>
  <si>
    <t>RAJENDRA PD.SUKLA</t>
  </si>
  <si>
    <t>10/09/1998</t>
  </si>
  <si>
    <t>SEVAN  LAL</t>
  </si>
  <si>
    <t>ADHARU</t>
  </si>
  <si>
    <t>20/4/1991</t>
  </si>
  <si>
    <t>BULLU  KUMAR NAHAK</t>
  </si>
  <si>
    <t>RAMO NAHAK</t>
  </si>
  <si>
    <t>STRATA CONTROL PERSON</t>
  </si>
  <si>
    <t>10/10/2014</t>
  </si>
  <si>
    <t>CHANDRA SHEKHAR</t>
  </si>
  <si>
    <t>SMT.  JAGMAN</t>
  </si>
  <si>
    <t>GEN.MAZDOOR</t>
  </si>
  <si>
    <t>BHUPENDRA KR.  SONI</t>
  </si>
  <si>
    <t>VIJAY          KUMAR</t>
  </si>
  <si>
    <t>CONVEYOR OPERAT</t>
  </si>
  <si>
    <t>10/02/1989</t>
  </si>
  <si>
    <t>20/01/2016</t>
  </si>
  <si>
    <t>Vijendra Ku. Sonwani</t>
  </si>
  <si>
    <t>Susil Kumar</t>
  </si>
  <si>
    <t>Survey Maz.</t>
  </si>
  <si>
    <t>AJAY KUMAR RAIDAS</t>
  </si>
  <si>
    <t>JAGROOP RAIDAS</t>
  </si>
  <si>
    <t>SECURITY GUARD</t>
  </si>
  <si>
    <t>AJMER SINGH</t>
  </si>
  <si>
    <t>LAXMAN SINGH</t>
  </si>
  <si>
    <t>govinda satnami</t>
  </si>
  <si>
    <t>LAW PRASAD CHAUDHARY</t>
  </si>
  <si>
    <t>SEVAK SINGH</t>
  </si>
  <si>
    <t xml:space="preserve">KIRAN KR. MISHRA </t>
  </si>
  <si>
    <t xml:space="preserve">N.K. MISHRA </t>
  </si>
  <si>
    <t>MECHANIC FITTER</t>
  </si>
  <si>
    <t>26/2/1967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</si>
</sst>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4" fillId="3" borderId="3" xfId="0" applyFont="1" applyFill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0" fontId="0" fillId="0" borderId="3" xfId="0" applyBorder="1"/>
    <xf numFmtId="14" fontId="0" fillId="0" borderId="3" xfId="0" applyNumberFormat="1" applyBorder="1"/>
    <xf numFmtId="0" fontId="0" fillId="3" borderId="1" xfId="0" applyFill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vertical="top"/>
    </xf>
    <xf numFmtId="14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4" fontId="6" fillId="0" borderId="3" xfId="0" applyNumberFormat="1" applyFont="1" applyBorder="1"/>
    <xf numFmtId="0" fontId="5" fillId="3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6" fillId="0" borderId="1" xfId="0" applyNumberFormat="1" applyFont="1" applyBorder="1"/>
    <xf numFmtId="14" fontId="4" fillId="0" borderId="3" xfId="0" applyNumberFormat="1" applyFont="1" applyBorder="1" applyAlignment="1">
      <alignment horizontal="center"/>
    </xf>
    <xf numFmtId="0" fontId="4" fillId="3" borderId="1" xfId="0" applyFont="1" applyFill="1" applyBorder="1"/>
    <xf numFmtId="0" fontId="4" fillId="0" borderId="1" xfId="0" applyFont="1" applyBorder="1"/>
    <xf numFmtId="1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0" fillId="0" borderId="1" xfId="0" applyNumberFormat="1" applyBorder="1"/>
    <xf numFmtId="0" fontId="4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4" borderId="1" xfId="0" applyFont="1" applyFill="1" applyBorder="1"/>
    <xf numFmtId="14" fontId="4" fillId="0" borderId="2" xfId="0" applyNumberFormat="1" applyFont="1" applyBorder="1" applyAlignment="1">
      <alignment horizontal="center"/>
    </xf>
    <xf numFmtId="0" fontId="5" fillId="4" borderId="1" xfId="0" applyFont="1" applyFill="1" applyBorder="1"/>
    <xf numFmtId="0" fontId="5" fillId="3" borderId="3" xfId="0" applyFont="1" applyFill="1" applyBorder="1"/>
    <xf numFmtId="0" fontId="5" fillId="0" borderId="3" xfId="0" applyFont="1" applyBorder="1"/>
    <xf numFmtId="14" fontId="5" fillId="0" borderId="3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0" borderId="1" xfId="0" applyFont="1" applyBorder="1"/>
    <xf numFmtId="14" fontId="7" fillId="0" borderId="1" xfId="0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0" fontId="4" fillId="4" borderId="3" xfId="0" applyFont="1" applyFill="1" applyBorder="1"/>
    <xf numFmtId="0" fontId="5" fillId="4" borderId="3" xfId="0" applyFont="1" applyFill="1" applyBorder="1"/>
    <xf numFmtId="164" fontId="0" fillId="0" borderId="4" xfId="0" applyNumberForma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14" fontId="9" fillId="0" borderId="3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2" fillId="0" borderId="5" xfId="0" applyNumberFormat="1" applyFont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9" fillId="0" borderId="1" xfId="0" applyNumberFormat="1" applyFont="1" applyBorder="1" applyAlignment="1">
      <alignment horizontal="left"/>
    </xf>
    <xf numFmtId="14" fontId="0" fillId="0" borderId="6" xfId="0" applyNumberFormat="1" applyBorder="1"/>
    <xf numFmtId="0" fontId="9" fillId="0" borderId="7" xfId="0" applyFont="1" applyBorder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14" fontId="2" fillId="0" borderId="1" xfId="0" applyNumberFormat="1" applyFont="1" applyBorder="1"/>
    <xf numFmtId="0" fontId="10" fillId="4" borderId="3" xfId="0" applyFont="1" applyFill="1" applyBorder="1" applyAlignment="1">
      <alignment horizontal="left"/>
    </xf>
    <xf numFmtId="0" fontId="10" fillId="0" borderId="3" xfId="0" applyFont="1" applyBorder="1" applyAlignment="1">
      <alignment horizontal="left"/>
    </xf>
    <xf numFmtId="14" fontId="10" fillId="0" borderId="3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11" fillId="0" borderId="5" xfId="0" applyNumberFormat="1" applyFont="1" applyBorder="1"/>
    <xf numFmtId="0" fontId="4" fillId="2" borderId="3" xfId="0" applyFont="1" applyFill="1" applyBorder="1" applyAlignment="1"/>
    <xf numFmtId="0" fontId="4" fillId="0" borderId="3" xfId="0" applyFont="1" applyBorder="1" applyAlignment="1"/>
    <xf numFmtId="0" fontId="5" fillId="0" borderId="1" xfId="0" applyFont="1" applyBorder="1" applyAlignment="1"/>
    <xf numFmtId="0" fontId="4" fillId="0" borderId="1" xfId="0" applyFont="1" applyBorder="1" applyAlignment="1"/>
    <xf numFmtId="0" fontId="5" fillId="0" borderId="3" xfId="0" applyFont="1" applyBorder="1" applyAlignment="1"/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/>
    <xf numFmtId="0" fontId="9" fillId="0" borderId="3" xfId="0" applyFont="1" applyBorder="1" applyAlignment="1"/>
    <xf numFmtId="0" fontId="9" fillId="0" borderId="1" xfId="0" applyFont="1" applyBorder="1" applyAlignment="1"/>
    <xf numFmtId="0" fontId="0" fillId="0" borderId="0" xfId="0" applyAlignment="1"/>
    <xf numFmtId="0" fontId="1" fillId="0" borderId="1" xfId="0" applyFont="1" applyBorder="1" applyAlignment="1"/>
    <xf numFmtId="0" fontId="9" fillId="4" borderId="1" xfId="0" applyFont="1" applyFill="1" applyBorder="1" applyAlignment="1"/>
    <xf numFmtId="0" fontId="10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7196-2FA4-4589-8CEB-B5E09F2AD8D3}">
  <dimension ref="A1:J83"/>
  <sheetViews>
    <sheetView tabSelected="1" workbookViewId="0">
      <selection sqref="A1:J1048576"/>
    </sheetView>
  </sheetViews>
  <sheetFormatPr defaultRowHeight="15" x14ac:dyDescent="0.25"/>
  <cols>
    <col min="1" max="1" width="12.28515625" style="86" customWidth="1"/>
    <col min="2" max="2" width="24.85546875" bestFit="1" customWidth="1"/>
    <col min="3" max="3" width="22.140625" customWidth="1"/>
    <col min="4" max="4" width="24.85546875" bestFit="1" customWidth="1"/>
    <col min="5" max="5" width="13" customWidth="1"/>
    <col min="6" max="6" width="12.7109375" customWidth="1"/>
    <col min="7" max="7" width="16.28515625" customWidth="1"/>
    <col min="8" max="8" width="32.140625" style="38" customWidth="1"/>
    <col min="9" max="9" width="15.42578125" customWidth="1"/>
    <col min="10" max="10" width="15.5703125" style="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77">
        <v>24907933</v>
      </c>
      <c r="B2" s="3" t="s">
        <v>10</v>
      </c>
      <c r="C2" s="4" t="s">
        <v>11</v>
      </c>
      <c r="D2" s="4" t="s">
        <v>12</v>
      </c>
      <c r="E2" s="5" t="s">
        <v>13</v>
      </c>
      <c r="F2" s="6">
        <v>31604</v>
      </c>
      <c r="G2" s="7" t="s">
        <v>14</v>
      </c>
      <c r="H2" s="8">
        <v>45700</v>
      </c>
      <c r="I2" s="9">
        <f ca="1">DATEDIF(F2,TODAY(),"y")</f>
        <v>40</v>
      </c>
      <c r="J2" s="10">
        <f>EDATE(H2-1,60)</f>
        <v>47525</v>
      </c>
    </row>
    <row r="3" spans="1:10" x14ac:dyDescent="0.25">
      <c r="A3" s="13">
        <v>24904862</v>
      </c>
      <c r="B3" s="11" t="s">
        <v>15</v>
      </c>
      <c r="C3" s="12"/>
      <c r="D3" s="13" t="s">
        <v>16</v>
      </c>
      <c r="E3" s="7"/>
      <c r="F3" s="14"/>
      <c r="G3" s="15"/>
      <c r="H3" s="16"/>
      <c r="I3" s="2"/>
      <c r="J3" s="2">
        <v>0</v>
      </c>
    </row>
    <row r="4" spans="1:10" x14ac:dyDescent="0.25">
      <c r="A4" s="78">
        <v>92280172</v>
      </c>
      <c r="B4" s="3" t="s">
        <v>17</v>
      </c>
      <c r="C4" s="17" t="s">
        <v>18</v>
      </c>
      <c r="D4" s="17" t="s">
        <v>19</v>
      </c>
      <c r="E4" s="18" t="s">
        <v>20</v>
      </c>
      <c r="F4" s="19">
        <v>24677</v>
      </c>
      <c r="G4" s="20" t="s">
        <v>21</v>
      </c>
      <c r="H4" s="21">
        <v>46157</v>
      </c>
      <c r="I4" s="9">
        <f t="shared" ref="I4:I67" ca="1" si="0">DATEDIF(F4,TODAY(),"y")</f>
        <v>59</v>
      </c>
      <c r="J4" s="22">
        <f t="shared" ref="J4:J5" si="1">EDATE(H4-1,12)</f>
        <v>46521</v>
      </c>
    </row>
    <row r="5" spans="1:10" x14ac:dyDescent="0.25">
      <c r="A5" s="79">
        <v>92289221</v>
      </c>
      <c r="B5" s="23" t="s">
        <v>22</v>
      </c>
      <c r="C5" s="24" t="s">
        <v>23</v>
      </c>
      <c r="D5" s="24" t="s">
        <v>19</v>
      </c>
      <c r="E5" s="25" t="s">
        <v>20</v>
      </c>
      <c r="F5" s="26">
        <v>24725</v>
      </c>
      <c r="G5" s="27">
        <v>33122</v>
      </c>
      <c r="H5" s="28">
        <v>45873</v>
      </c>
      <c r="I5" s="2">
        <f t="shared" ca="1" si="0"/>
        <v>58</v>
      </c>
      <c r="J5" s="29">
        <f t="shared" si="1"/>
        <v>46237</v>
      </c>
    </row>
    <row r="6" spans="1:10" x14ac:dyDescent="0.25">
      <c r="A6" s="78">
        <v>24905969</v>
      </c>
      <c r="B6" s="3" t="s">
        <v>24</v>
      </c>
      <c r="C6" s="17" t="s">
        <v>25</v>
      </c>
      <c r="D6" s="17" t="s">
        <v>19</v>
      </c>
      <c r="E6" s="18" t="s">
        <v>20</v>
      </c>
      <c r="F6" s="30">
        <v>30537</v>
      </c>
      <c r="G6" s="20" t="s">
        <v>26</v>
      </c>
      <c r="H6" s="21">
        <v>45048</v>
      </c>
      <c r="I6" s="9">
        <f t="shared" ca="1" si="0"/>
        <v>43</v>
      </c>
      <c r="J6" s="10">
        <f t="shared" ref="J6:J7" si="2">EDATE(H6-1,60)</f>
        <v>46874</v>
      </c>
    </row>
    <row r="7" spans="1:10" x14ac:dyDescent="0.25">
      <c r="A7" s="80">
        <v>92401082</v>
      </c>
      <c r="B7" s="31" t="s">
        <v>27</v>
      </c>
      <c r="C7" s="32" t="s">
        <v>28</v>
      </c>
      <c r="D7" s="32" t="s">
        <v>19</v>
      </c>
      <c r="E7" s="20" t="s">
        <v>29</v>
      </c>
      <c r="F7" s="33">
        <v>29706</v>
      </c>
      <c r="G7" s="34" t="s">
        <v>30</v>
      </c>
      <c r="H7" s="28">
        <v>44473</v>
      </c>
      <c r="I7" s="2">
        <f t="shared" ca="1" si="0"/>
        <v>45</v>
      </c>
      <c r="J7" s="35">
        <f t="shared" si="2"/>
        <v>46298</v>
      </c>
    </row>
    <row r="8" spans="1:10" x14ac:dyDescent="0.25">
      <c r="A8" s="78">
        <v>92295217</v>
      </c>
      <c r="B8" s="3" t="s">
        <v>31</v>
      </c>
      <c r="C8" s="17" t="s">
        <v>32</v>
      </c>
      <c r="D8" s="17" t="s">
        <v>33</v>
      </c>
      <c r="E8" s="36" t="s">
        <v>20</v>
      </c>
      <c r="F8" s="30">
        <v>26912</v>
      </c>
      <c r="G8" s="33">
        <v>35055</v>
      </c>
      <c r="H8" s="37">
        <v>46153</v>
      </c>
      <c r="I8" s="9">
        <f t="shared" ca="1" si="0"/>
        <v>52</v>
      </c>
      <c r="J8" s="22">
        <f t="shared" ref="J8:J11" si="3">EDATE(H8-1,12)</f>
        <v>46517</v>
      </c>
    </row>
    <row r="9" spans="1:10" x14ac:dyDescent="0.25">
      <c r="A9" s="80">
        <v>92295248</v>
      </c>
      <c r="B9" s="31" t="s">
        <v>34</v>
      </c>
      <c r="C9" s="32" t="s">
        <v>35</v>
      </c>
      <c r="D9" s="32" t="s">
        <v>33</v>
      </c>
      <c r="E9" s="20" t="s">
        <v>20</v>
      </c>
      <c r="F9" s="33">
        <v>24641</v>
      </c>
      <c r="G9" s="33">
        <v>35178</v>
      </c>
      <c r="H9" s="38">
        <v>46093</v>
      </c>
      <c r="I9" s="2">
        <f t="shared" ca="1" si="0"/>
        <v>59</v>
      </c>
      <c r="J9" s="29">
        <f t="shared" si="3"/>
        <v>46457</v>
      </c>
    </row>
    <row r="10" spans="1:10" x14ac:dyDescent="0.25">
      <c r="A10" s="79">
        <v>92291249</v>
      </c>
      <c r="B10" s="23" t="s">
        <v>36</v>
      </c>
      <c r="C10" s="24" t="s">
        <v>37</v>
      </c>
      <c r="D10" s="24" t="s">
        <v>38</v>
      </c>
      <c r="E10" s="20" t="s">
        <v>39</v>
      </c>
      <c r="F10" s="26">
        <v>25053</v>
      </c>
      <c r="G10" s="25" t="s">
        <v>40</v>
      </c>
      <c r="H10" s="38">
        <v>46093</v>
      </c>
      <c r="I10" s="2">
        <f t="shared" ca="1" si="0"/>
        <v>58</v>
      </c>
      <c r="J10" s="29">
        <f t="shared" si="3"/>
        <v>46457</v>
      </c>
    </row>
    <row r="11" spans="1:10" x14ac:dyDescent="0.25">
      <c r="A11" s="80">
        <v>92290301</v>
      </c>
      <c r="B11" s="39" t="s">
        <v>41</v>
      </c>
      <c r="C11" s="32" t="s">
        <v>42</v>
      </c>
      <c r="D11" s="32" t="s">
        <v>43</v>
      </c>
      <c r="E11" s="20" t="s">
        <v>44</v>
      </c>
      <c r="F11" s="33">
        <v>26518</v>
      </c>
      <c r="G11" s="40">
        <v>35835</v>
      </c>
      <c r="H11" s="28">
        <v>45322</v>
      </c>
      <c r="I11" s="2">
        <f t="shared" ca="1" si="0"/>
        <v>54</v>
      </c>
      <c r="J11" s="29">
        <f t="shared" si="3"/>
        <v>45687</v>
      </c>
    </row>
    <row r="12" spans="1:10" x14ac:dyDescent="0.25">
      <c r="A12" s="79">
        <v>92289672</v>
      </c>
      <c r="B12" s="41" t="s">
        <v>45</v>
      </c>
      <c r="C12" s="24" t="s">
        <v>46</v>
      </c>
      <c r="D12" s="24" t="s">
        <v>47</v>
      </c>
      <c r="E12" s="25" t="s">
        <v>48</v>
      </c>
      <c r="F12" s="26">
        <v>27956</v>
      </c>
      <c r="G12" s="27">
        <v>36783</v>
      </c>
      <c r="H12" s="28">
        <v>44919</v>
      </c>
      <c r="I12" s="2">
        <f t="shared" ca="1" si="0"/>
        <v>50</v>
      </c>
      <c r="J12" s="29">
        <f>EDATE(H12-1,36)</f>
        <v>46014</v>
      </c>
    </row>
    <row r="13" spans="1:10" x14ac:dyDescent="0.25">
      <c r="A13" s="81">
        <v>92493592</v>
      </c>
      <c r="B13" s="42" t="s">
        <v>49</v>
      </c>
      <c r="C13" s="43" t="s">
        <v>50</v>
      </c>
      <c r="D13" s="17" t="s">
        <v>51</v>
      </c>
      <c r="E13" s="36" t="s">
        <v>39</v>
      </c>
      <c r="F13" s="44">
        <v>25014</v>
      </c>
      <c r="G13" s="26">
        <v>33610</v>
      </c>
      <c r="H13" s="21">
        <v>46149</v>
      </c>
      <c r="I13" s="9">
        <f t="shared" ca="1" si="0"/>
        <v>58</v>
      </c>
      <c r="J13" s="22">
        <f t="shared" ref="J13:J26" si="4">EDATE(H13-1,12)</f>
        <v>46513</v>
      </c>
    </row>
    <row r="14" spans="1:10" x14ac:dyDescent="0.25">
      <c r="A14" s="79">
        <v>92303273</v>
      </c>
      <c r="B14" s="23" t="s">
        <v>52</v>
      </c>
      <c r="C14" s="24" t="s">
        <v>53</v>
      </c>
      <c r="D14" s="24" t="s">
        <v>47</v>
      </c>
      <c r="E14" s="25" t="s">
        <v>48</v>
      </c>
      <c r="F14" s="26">
        <v>25184</v>
      </c>
      <c r="G14" s="27">
        <v>33785</v>
      </c>
      <c r="H14" s="28">
        <v>45854</v>
      </c>
      <c r="I14" s="2">
        <f t="shared" ca="1" si="0"/>
        <v>57</v>
      </c>
      <c r="J14" s="29">
        <f t="shared" si="4"/>
        <v>46218</v>
      </c>
    </row>
    <row r="15" spans="1:10" x14ac:dyDescent="0.25">
      <c r="A15" s="80">
        <v>92295280</v>
      </c>
      <c r="B15" s="39" t="s">
        <v>54</v>
      </c>
      <c r="C15" s="32" t="s">
        <v>55</v>
      </c>
      <c r="D15" s="32" t="s">
        <v>56</v>
      </c>
      <c r="E15" s="20" t="s">
        <v>44</v>
      </c>
      <c r="F15" s="33">
        <v>26789</v>
      </c>
      <c r="G15" s="34" t="s">
        <v>57</v>
      </c>
      <c r="H15" s="28">
        <v>45390</v>
      </c>
      <c r="I15" s="2">
        <f t="shared" ca="1" si="0"/>
        <v>53</v>
      </c>
      <c r="J15" s="29">
        <f t="shared" si="4"/>
        <v>45754</v>
      </c>
    </row>
    <row r="16" spans="1:10" x14ac:dyDescent="0.25">
      <c r="A16" s="80">
        <v>92493072</v>
      </c>
      <c r="B16" s="31" t="s">
        <v>58</v>
      </c>
      <c r="C16" s="32" t="s">
        <v>59</v>
      </c>
      <c r="D16" s="32" t="s">
        <v>60</v>
      </c>
      <c r="E16" s="20"/>
      <c r="F16" s="26">
        <v>26421</v>
      </c>
      <c r="G16" s="27">
        <v>34531</v>
      </c>
      <c r="H16" s="28" t="s">
        <v>61</v>
      </c>
      <c r="I16" s="2">
        <f t="shared" ca="1" si="0"/>
        <v>54</v>
      </c>
      <c r="J16" s="29" t="e">
        <f t="shared" si="4"/>
        <v>#VALUE!</v>
      </c>
    </row>
    <row r="17" spans="1:10" x14ac:dyDescent="0.25">
      <c r="A17" s="80">
        <v>92289290</v>
      </c>
      <c r="B17" s="39" t="s">
        <v>54</v>
      </c>
      <c r="C17" s="32" t="s">
        <v>62</v>
      </c>
      <c r="D17" s="32" t="s">
        <v>60</v>
      </c>
      <c r="E17" s="20" t="s">
        <v>63</v>
      </c>
      <c r="F17" s="33">
        <v>25778</v>
      </c>
      <c r="G17" s="34" t="s">
        <v>64</v>
      </c>
      <c r="H17" s="28">
        <v>45307</v>
      </c>
      <c r="I17" s="2">
        <f t="shared" ca="1" si="0"/>
        <v>56</v>
      </c>
      <c r="J17" s="29">
        <f t="shared" si="4"/>
        <v>45672</v>
      </c>
    </row>
    <row r="18" spans="1:10" x14ac:dyDescent="0.25">
      <c r="A18" s="78">
        <v>92304124</v>
      </c>
      <c r="B18" s="3" t="s">
        <v>65</v>
      </c>
      <c r="C18" s="17" t="s">
        <v>66</v>
      </c>
      <c r="D18" s="17" t="s">
        <v>67</v>
      </c>
      <c r="E18" s="36" t="s">
        <v>68</v>
      </c>
      <c r="F18" s="30">
        <v>25703</v>
      </c>
      <c r="G18" s="20" t="s">
        <v>69</v>
      </c>
      <c r="H18" s="21">
        <v>46155</v>
      </c>
      <c r="I18" s="9">
        <f t="shared" ca="1" si="0"/>
        <v>56</v>
      </c>
      <c r="J18" s="22">
        <f t="shared" si="4"/>
        <v>46519</v>
      </c>
    </row>
    <row r="19" spans="1:10" x14ac:dyDescent="0.25">
      <c r="A19" s="82">
        <v>92493054</v>
      </c>
      <c r="B19" s="31" t="s">
        <v>70</v>
      </c>
      <c r="C19" s="32" t="s">
        <v>71</v>
      </c>
      <c r="D19" s="32" t="s">
        <v>67</v>
      </c>
      <c r="E19" s="20" t="s">
        <v>68</v>
      </c>
      <c r="F19" s="33">
        <v>26131</v>
      </c>
      <c r="G19" s="33">
        <v>34219</v>
      </c>
      <c r="H19" s="28">
        <v>46174</v>
      </c>
      <c r="I19" s="2">
        <f t="shared" ca="1" si="0"/>
        <v>55</v>
      </c>
      <c r="J19" s="29">
        <f t="shared" si="4"/>
        <v>46538</v>
      </c>
    </row>
    <row r="20" spans="1:10" x14ac:dyDescent="0.25">
      <c r="A20" s="80">
        <v>92289545</v>
      </c>
      <c r="B20" s="39" t="s">
        <v>72</v>
      </c>
      <c r="C20" s="32" t="s">
        <v>73</v>
      </c>
      <c r="D20" s="32" t="s">
        <v>67</v>
      </c>
      <c r="E20" s="20" t="s">
        <v>68</v>
      </c>
      <c r="F20" s="33">
        <v>25024</v>
      </c>
      <c r="G20" s="20" t="s">
        <v>74</v>
      </c>
      <c r="H20" s="28">
        <v>46160</v>
      </c>
      <c r="I20" s="2">
        <f t="shared" ca="1" si="0"/>
        <v>58</v>
      </c>
      <c r="J20" s="29">
        <f t="shared" si="4"/>
        <v>46524</v>
      </c>
    </row>
    <row r="21" spans="1:10" x14ac:dyDescent="0.25">
      <c r="A21" s="80">
        <v>92303279</v>
      </c>
      <c r="B21" s="31" t="s">
        <v>75</v>
      </c>
      <c r="C21" s="32" t="s">
        <v>76</v>
      </c>
      <c r="D21" s="32" t="s">
        <v>67</v>
      </c>
      <c r="E21" s="20" t="s">
        <v>68</v>
      </c>
      <c r="F21" s="33">
        <v>26785</v>
      </c>
      <c r="G21" s="20" t="s">
        <v>77</v>
      </c>
      <c r="H21" s="28">
        <v>46162</v>
      </c>
      <c r="I21" s="2">
        <f t="shared" ca="1" si="0"/>
        <v>53</v>
      </c>
      <c r="J21" s="29">
        <f t="shared" si="4"/>
        <v>46526</v>
      </c>
    </row>
    <row r="22" spans="1:10" x14ac:dyDescent="0.25">
      <c r="A22" s="80">
        <v>92303274</v>
      </c>
      <c r="B22" s="31" t="s">
        <v>78</v>
      </c>
      <c r="C22" s="32" t="s">
        <v>79</v>
      </c>
      <c r="D22" s="32" t="s">
        <v>19</v>
      </c>
      <c r="E22" s="20" t="s">
        <v>29</v>
      </c>
      <c r="F22" s="33">
        <v>24479</v>
      </c>
      <c r="G22" s="33">
        <v>33701</v>
      </c>
      <c r="H22" s="38">
        <v>46080</v>
      </c>
      <c r="I22" s="2">
        <f t="shared" ca="1" si="0"/>
        <v>59</v>
      </c>
      <c r="J22" s="29">
        <f t="shared" si="4"/>
        <v>46444</v>
      </c>
    </row>
    <row r="23" spans="1:10" x14ac:dyDescent="0.25">
      <c r="A23" s="80">
        <v>24911125</v>
      </c>
      <c r="B23" s="31" t="s">
        <v>80</v>
      </c>
      <c r="C23" s="32" t="s">
        <v>81</v>
      </c>
      <c r="D23" s="32" t="s">
        <v>82</v>
      </c>
      <c r="E23" s="20" t="s">
        <v>39</v>
      </c>
      <c r="F23" s="33">
        <v>31757</v>
      </c>
      <c r="G23" s="33">
        <v>41873</v>
      </c>
      <c r="H23" s="28">
        <v>45188</v>
      </c>
      <c r="I23" s="2">
        <f t="shared" ca="1" si="0"/>
        <v>39</v>
      </c>
      <c r="J23" s="35">
        <f>EDATE(H23-1,60)</f>
        <v>47014</v>
      </c>
    </row>
    <row r="24" spans="1:10" x14ac:dyDescent="0.25">
      <c r="A24" s="80">
        <v>92493391</v>
      </c>
      <c r="B24" s="31" t="s">
        <v>83</v>
      </c>
      <c r="C24" s="32" t="s">
        <v>84</v>
      </c>
      <c r="D24" s="32" t="s">
        <v>85</v>
      </c>
      <c r="E24" s="20" t="s">
        <v>39</v>
      </c>
      <c r="F24" s="33">
        <v>27150</v>
      </c>
      <c r="G24" s="34" t="s">
        <v>86</v>
      </c>
      <c r="H24" s="28">
        <v>45826</v>
      </c>
      <c r="I24" s="2">
        <f t="shared" ca="1" si="0"/>
        <v>52</v>
      </c>
      <c r="J24" s="29">
        <f t="shared" si="4"/>
        <v>46190</v>
      </c>
    </row>
    <row r="25" spans="1:10" x14ac:dyDescent="0.25">
      <c r="A25" s="78">
        <v>92280892</v>
      </c>
      <c r="B25" s="3" t="s">
        <v>87</v>
      </c>
      <c r="C25" s="17" t="s">
        <v>88</v>
      </c>
      <c r="D25" s="17" t="s">
        <v>89</v>
      </c>
      <c r="E25" s="36" t="s">
        <v>48</v>
      </c>
      <c r="F25" s="44">
        <v>26451</v>
      </c>
      <c r="G25" s="26">
        <v>34229</v>
      </c>
      <c r="H25" s="21">
        <v>46155</v>
      </c>
      <c r="I25" s="9">
        <f t="shared" ca="1" si="0"/>
        <v>54</v>
      </c>
      <c r="J25" s="22">
        <f t="shared" si="4"/>
        <v>46519</v>
      </c>
    </row>
    <row r="26" spans="1:10" x14ac:dyDescent="0.25">
      <c r="A26" s="79">
        <v>22931929</v>
      </c>
      <c r="B26" s="23" t="s">
        <v>90</v>
      </c>
      <c r="C26" s="24" t="s">
        <v>91</v>
      </c>
      <c r="D26" s="24" t="s">
        <v>47</v>
      </c>
      <c r="E26" s="25" t="s">
        <v>48</v>
      </c>
      <c r="F26" s="26">
        <v>25769</v>
      </c>
      <c r="G26" s="26">
        <v>33907</v>
      </c>
      <c r="H26" s="28">
        <v>46161</v>
      </c>
      <c r="I26" s="2">
        <f t="shared" ca="1" si="0"/>
        <v>56</v>
      </c>
      <c r="J26" s="29">
        <f t="shared" si="4"/>
        <v>46525</v>
      </c>
    </row>
    <row r="27" spans="1:10" x14ac:dyDescent="0.25">
      <c r="A27" s="80">
        <v>24905659</v>
      </c>
      <c r="B27" s="31" t="s">
        <v>92</v>
      </c>
      <c r="C27" s="32" t="s">
        <v>93</v>
      </c>
      <c r="D27" s="32" t="s">
        <v>82</v>
      </c>
      <c r="E27" s="20" t="s">
        <v>39</v>
      </c>
      <c r="F27" s="33">
        <v>32582</v>
      </c>
      <c r="G27" s="20" t="s">
        <v>94</v>
      </c>
      <c r="H27" s="28">
        <v>45162</v>
      </c>
      <c r="I27" s="2">
        <f t="shared" ca="1" si="0"/>
        <v>37</v>
      </c>
      <c r="J27" s="35">
        <f t="shared" ref="J27:J30" si="5">EDATE(H27-1,60)</f>
        <v>46988</v>
      </c>
    </row>
    <row r="28" spans="1:10" x14ac:dyDescent="0.25">
      <c r="A28" s="80">
        <v>24900999</v>
      </c>
      <c r="B28" s="31" t="s">
        <v>95</v>
      </c>
      <c r="C28" s="32" t="s">
        <v>96</v>
      </c>
      <c r="D28" s="32" t="s">
        <v>85</v>
      </c>
      <c r="E28" s="20" t="s">
        <v>39</v>
      </c>
      <c r="F28" s="33">
        <v>30835</v>
      </c>
      <c r="G28" s="34" t="s">
        <v>97</v>
      </c>
      <c r="H28" s="28">
        <v>44467</v>
      </c>
      <c r="I28" s="2">
        <f t="shared" ca="1" si="0"/>
        <v>42</v>
      </c>
      <c r="J28" s="35">
        <f t="shared" si="5"/>
        <v>46292</v>
      </c>
    </row>
    <row r="29" spans="1:10" x14ac:dyDescent="0.25">
      <c r="A29" s="80">
        <v>24901965</v>
      </c>
      <c r="B29" s="31" t="s">
        <v>98</v>
      </c>
      <c r="C29" s="32" t="s">
        <v>99</v>
      </c>
      <c r="D29" s="32" t="s">
        <v>89</v>
      </c>
      <c r="E29" s="20" t="s">
        <v>48</v>
      </c>
      <c r="F29" s="33">
        <v>30885</v>
      </c>
      <c r="G29" s="34" t="s">
        <v>100</v>
      </c>
      <c r="H29" s="28">
        <v>44497</v>
      </c>
      <c r="I29" s="2">
        <f t="shared" ca="1" si="0"/>
        <v>42</v>
      </c>
      <c r="J29" s="35">
        <f t="shared" si="5"/>
        <v>46322</v>
      </c>
    </row>
    <row r="30" spans="1:10" x14ac:dyDescent="0.25">
      <c r="A30" s="81">
        <v>92401110</v>
      </c>
      <c r="B30" s="42" t="s">
        <v>101</v>
      </c>
      <c r="C30" s="43" t="s">
        <v>102</v>
      </c>
      <c r="D30" s="43" t="s">
        <v>103</v>
      </c>
      <c r="E30" s="18" t="s">
        <v>48</v>
      </c>
      <c r="F30" s="44">
        <v>30684</v>
      </c>
      <c r="G30" s="26">
        <v>37786</v>
      </c>
      <c r="H30" s="21">
        <v>45049</v>
      </c>
      <c r="I30" s="9">
        <f t="shared" ca="1" si="0"/>
        <v>42</v>
      </c>
      <c r="J30" s="10">
        <f t="shared" si="5"/>
        <v>46875</v>
      </c>
    </row>
    <row r="31" spans="1:10" x14ac:dyDescent="0.25">
      <c r="A31" s="80">
        <v>92492998</v>
      </c>
      <c r="B31" s="31" t="s">
        <v>104</v>
      </c>
      <c r="C31" s="32" t="s">
        <v>105</v>
      </c>
      <c r="D31" s="32" t="s">
        <v>19</v>
      </c>
      <c r="E31" s="20" t="s">
        <v>29</v>
      </c>
      <c r="F31" s="33">
        <v>25578</v>
      </c>
      <c r="G31" s="34" t="s">
        <v>106</v>
      </c>
      <c r="H31" s="28">
        <v>45883</v>
      </c>
      <c r="I31" s="2">
        <f t="shared" ca="1" si="0"/>
        <v>56</v>
      </c>
      <c r="J31" s="29">
        <f t="shared" ref="J31:J35" si="6">EDATE(H31-1,12)</f>
        <v>46247</v>
      </c>
    </row>
    <row r="32" spans="1:10" x14ac:dyDescent="0.25">
      <c r="A32" s="80">
        <v>92492463</v>
      </c>
      <c r="B32" s="31" t="s">
        <v>107</v>
      </c>
      <c r="C32" s="32" t="s">
        <v>108</v>
      </c>
      <c r="D32" s="32" t="s">
        <v>85</v>
      </c>
      <c r="E32" s="20" t="s">
        <v>39</v>
      </c>
      <c r="F32" s="33">
        <v>25974</v>
      </c>
      <c r="G32" s="34" t="s">
        <v>109</v>
      </c>
      <c r="H32" s="28">
        <v>45882</v>
      </c>
      <c r="I32" s="2">
        <f t="shared" ca="1" si="0"/>
        <v>55</v>
      </c>
      <c r="J32" s="29">
        <f t="shared" si="6"/>
        <v>46246</v>
      </c>
    </row>
    <row r="33" spans="1:10" x14ac:dyDescent="0.25">
      <c r="A33" s="80">
        <v>92290511</v>
      </c>
      <c r="B33" s="31" t="s">
        <v>110</v>
      </c>
      <c r="C33" s="32" t="s">
        <v>111</v>
      </c>
      <c r="D33" s="32" t="s">
        <v>89</v>
      </c>
      <c r="E33" s="20" t="s">
        <v>48</v>
      </c>
      <c r="F33" s="26">
        <v>25219</v>
      </c>
      <c r="G33" s="27">
        <v>33279</v>
      </c>
      <c r="H33" s="28">
        <v>45877</v>
      </c>
      <c r="I33" s="2">
        <f t="shared" ca="1" si="0"/>
        <v>57</v>
      </c>
      <c r="J33" s="29">
        <f t="shared" si="6"/>
        <v>46241</v>
      </c>
    </row>
    <row r="34" spans="1:10" x14ac:dyDescent="0.25">
      <c r="A34" s="79">
        <v>92492987</v>
      </c>
      <c r="B34" s="23" t="s">
        <v>112</v>
      </c>
      <c r="C34" s="24" t="s">
        <v>113</v>
      </c>
      <c r="D34" s="24" t="s">
        <v>47</v>
      </c>
      <c r="E34" s="25" t="s">
        <v>48</v>
      </c>
      <c r="F34" s="26">
        <v>25525</v>
      </c>
      <c r="G34" s="45" t="s">
        <v>40</v>
      </c>
      <c r="H34" s="28">
        <v>45882</v>
      </c>
      <c r="I34" s="2">
        <f t="shared" ca="1" si="0"/>
        <v>56</v>
      </c>
      <c r="J34" s="29">
        <f t="shared" si="6"/>
        <v>46246</v>
      </c>
    </row>
    <row r="35" spans="1:10" x14ac:dyDescent="0.25">
      <c r="A35" s="83">
        <v>24562324</v>
      </c>
      <c r="B35" s="47" t="s">
        <v>114</v>
      </c>
      <c r="C35" s="46" t="s">
        <v>115</v>
      </c>
      <c r="D35" s="48" t="s">
        <v>103</v>
      </c>
      <c r="E35" s="49" t="s">
        <v>116</v>
      </c>
      <c r="F35" s="49">
        <v>27231</v>
      </c>
      <c r="G35" s="50">
        <v>35163</v>
      </c>
      <c r="H35" s="28">
        <v>45820</v>
      </c>
      <c r="I35" s="2">
        <f t="shared" ca="1" si="0"/>
        <v>52</v>
      </c>
      <c r="J35" s="29">
        <f t="shared" si="6"/>
        <v>46184</v>
      </c>
    </row>
    <row r="36" spans="1:10" x14ac:dyDescent="0.25">
      <c r="A36" s="78">
        <v>92304160</v>
      </c>
      <c r="B36" s="3" t="s">
        <v>117</v>
      </c>
      <c r="C36" s="17" t="s">
        <v>118</v>
      </c>
      <c r="D36" s="17" t="s">
        <v>19</v>
      </c>
      <c r="E36" s="18" t="s">
        <v>20</v>
      </c>
      <c r="F36" s="30">
        <v>28134</v>
      </c>
      <c r="G36" s="33">
        <v>35408</v>
      </c>
      <c r="H36" s="21">
        <v>45748</v>
      </c>
      <c r="I36" s="9">
        <f t="shared" ca="1" si="0"/>
        <v>49</v>
      </c>
      <c r="J36" s="22">
        <f>EDATE(H36-1,36)</f>
        <v>46843</v>
      </c>
    </row>
    <row r="37" spans="1:10" x14ac:dyDescent="0.25">
      <c r="A37" s="80">
        <v>22642052</v>
      </c>
      <c r="B37" s="31" t="s">
        <v>119</v>
      </c>
      <c r="C37" s="32" t="s">
        <v>120</v>
      </c>
      <c r="D37" s="32" t="s">
        <v>19</v>
      </c>
      <c r="E37" s="25" t="s">
        <v>20</v>
      </c>
      <c r="F37" s="33">
        <v>25245</v>
      </c>
      <c r="G37" s="34" t="s">
        <v>121</v>
      </c>
      <c r="H37" s="28">
        <v>45915</v>
      </c>
      <c r="I37" s="2">
        <f t="shared" ca="1" si="0"/>
        <v>57</v>
      </c>
      <c r="J37" s="29">
        <f t="shared" ref="J37:J40" si="7">EDATE(H37-1,12)</f>
        <v>46279</v>
      </c>
    </row>
    <row r="38" spans="1:10" x14ac:dyDescent="0.25">
      <c r="A38" s="80">
        <v>24857935</v>
      </c>
      <c r="B38" s="39" t="s">
        <v>122</v>
      </c>
      <c r="C38" s="32" t="s">
        <v>123</v>
      </c>
      <c r="D38" s="32" t="s">
        <v>19</v>
      </c>
      <c r="E38" s="20" t="s">
        <v>29</v>
      </c>
      <c r="F38" s="33">
        <v>27242</v>
      </c>
      <c r="G38" s="34" t="s">
        <v>124</v>
      </c>
      <c r="H38" s="28">
        <v>46218</v>
      </c>
      <c r="I38" s="2">
        <f t="shared" ca="1" si="0"/>
        <v>52</v>
      </c>
      <c r="J38" s="29">
        <f t="shared" si="7"/>
        <v>46582</v>
      </c>
    </row>
    <row r="39" spans="1:10" x14ac:dyDescent="0.25">
      <c r="A39" s="80">
        <v>92295236</v>
      </c>
      <c r="B39" s="31" t="s">
        <v>125</v>
      </c>
      <c r="C39" s="32" t="s">
        <v>126</v>
      </c>
      <c r="D39" s="32" t="s">
        <v>127</v>
      </c>
      <c r="E39" s="20" t="s">
        <v>29</v>
      </c>
      <c r="F39" s="33">
        <v>25421</v>
      </c>
      <c r="G39" s="40" t="s">
        <v>128</v>
      </c>
      <c r="H39" s="28">
        <v>46218</v>
      </c>
      <c r="I39" s="2">
        <f t="shared" ca="1" si="0"/>
        <v>57</v>
      </c>
      <c r="J39" s="29">
        <f t="shared" si="7"/>
        <v>46582</v>
      </c>
    </row>
    <row r="40" spans="1:10" x14ac:dyDescent="0.25">
      <c r="A40" s="80">
        <v>92299547</v>
      </c>
      <c r="B40" s="31" t="s">
        <v>129</v>
      </c>
      <c r="C40" s="32" t="s">
        <v>130</v>
      </c>
      <c r="D40" s="32" t="s">
        <v>85</v>
      </c>
      <c r="E40" s="20" t="s">
        <v>39</v>
      </c>
      <c r="F40" s="33">
        <v>26115</v>
      </c>
      <c r="G40" s="34" t="s">
        <v>131</v>
      </c>
      <c r="H40" s="28">
        <v>45875</v>
      </c>
      <c r="I40" s="2">
        <f t="shared" ca="1" si="0"/>
        <v>55</v>
      </c>
      <c r="J40" s="29">
        <f t="shared" si="7"/>
        <v>46239</v>
      </c>
    </row>
    <row r="41" spans="1:10" x14ac:dyDescent="0.25">
      <c r="A41" s="78">
        <v>92291271</v>
      </c>
      <c r="B41" s="3" t="s">
        <v>132</v>
      </c>
      <c r="C41" s="17" t="s">
        <v>133</v>
      </c>
      <c r="D41" s="17" t="s">
        <v>85</v>
      </c>
      <c r="E41" s="36" t="s">
        <v>39</v>
      </c>
      <c r="F41" s="30">
        <v>28306</v>
      </c>
      <c r="G41" s="20" t="s">
        <v>134</v>
      </c>
      <c r="H41" s="21">
        <v>45365</v>
      </c>
      <c r="I41" s="9">
        <f t="shared" ca="1" si="0"/>
        <v>49</v>
      </c>
      <c r="J41" s="22">
        <f>EDATE(H41-1,36)</f>
        <v>46459</v>
      </c>
    </row>
    <row r="42" spans="1:10" x14ac:dyDescent="0.25">
      <c r="A42" s="80">
        <v>92493506</v>
      </c>
      <c r="B42" s="31" t="s">
        <v>135</v>
      </c>
      <c r="C42" s="32" t="s">
        <v>136</v>
      </c>
      <c r="D42" s="32" t="s">
        <v>137</v>
      </c>
      <c r="E42" s="20" t="s">
        <v>44</v>
      </c>
      <c r="F42" s="33">
        <v>24898</v>
      </c>
      <c r="G42" s="20" t="s">
        <v>138</v>
      </c>
      <c r="H42" s="28">
        <v>46169</v>
      </c>
      <c r="I42" s="2">
        <f t="shared" ca="1" si="0"/>
        <v>58</v>
      </c>
      <c r="J42" s="29">
        <f t="shared" ref="J42:J55" si="8">EDATE(H42-1,12)</f>
        <v>46533</v>
      </c>
    </row>
    <row r="43" spans="1:10" x14ac:dyDescent="0.25">
      <c r="A43" s="80">
        <v>92299095</v>
      </c>
      <c r="B43" s="31" t="s">
        <v>139</v>
      </c>
      <c r="C43" s="32" t="s">
        <v>140</v>
      </c>
      <c r="D43" s="32" t="s">
        <v>137</v>
      </c>
      <c r="E43" s="20" t="s">
        <v>44</v>
      </c>
      <c r="F43" s="33">
        <v>24593</v>
      </c>
      <c r="G43" s="34" t="s">
        <v>141</v>
      </c>
      <c r="H43" s="28">
        <v>45867</v>
      </c>
      <c r="I43" s="2">
        <f t="shared" ca="1" si="0"/>
        <v>59</v>
      </c>
      <c r="J43" s="29">
        <f t="shared" si="8"/>
        <v>46231</v>
      </c>
    </row>
    <row r="44" spans="1:10" x14ac:dyDescent="0.25">
      <c r="A44" s="80">
        <v>92493118</v>
      </c>
      <c r="B44" s="31" t="s">
        <v>142</v>
      </c>
      <c r="C44" s="32" t="s">
        <v>143</v>
      </c>
      <c r="D44" s="32" t="s">
        <v>137</v>
      </c>
      <c r="E44" s="20" t="s">
        <v>44</v>
      </c>
      <c r="F44" s="33">
        <v>26115</v>
      </c>
      <c r="G44" s="34" t="s">
        <v>144</v>
      </c>
      <c r="H44" s="28">
        <v>45729</v>
      </c>
      <c r="I44" s="2">
        <f t="shared" ca="1" si="0"/>
        <v>55</v>
      </c>
      <c r="J44" s="29">
        <f t="shared" si="8"/>
        <v>46093</v>
      </c>
    </row>
    <row r="45" spans="1:10" x14ac:dyDescent="0.25">
      <c r="A45" s="78">
        <v>92304055</v>
      </c>
      <c r="B45" s="3" t="s">
        <v>145</v>
      </c>
      <c r="C45" s="17" t="s">
        <v>146</v>
      </c>
      <c r="D45" s="17" t="s">
        <v>67</v>
      </c>
      <c r="E45" s="36" t="s">
        <v>68</v>
      </c>
      <c r="F45" s="30">
        <v>24893</v>
      </c>
      <c r="G45" s="20" t="s">
        <v>147</v>
      </c>
      <c r="H45" s="21">
        <v>46169</v>
      </c>
      <c r="I45" s="9">
        <f t="shared" ca="1" si="0"/>
        <v>58</v>
      </c>
      <c r="J45" s="22">
        <f t="shared" si="8"/>
        <v>46533</v>
      </c>
    </row>
    <row r="46" spans="1:10" x14ac:dyDescent="0.25">
      <c r="A46" s="80">
        <v>92295206</v>
      </c>
      <c r="B46" s="31" t="s">
        <v>148</v>
      </c>
      <c r="C46" s="32" t="s">
        <v>149</v>
      </c>
      <c r="D46" s="32" t="s">
        <v>150</v>
      </c>
      <c r="E46" s="20" t="s">
        <v>20</v>
      </c>
      <c r="F46" s="33">
        <v>25461</v>
      </c>
      <c r="G46" s="20" t="s">
        <v>151</v>
      </c>
      <c r="H46" s="28">
        <v>46120</v>
      </c>
      <c r="I46" s="2">
        <f t="shared" ca="1" si="0"/>
        <v>56</v>
      </c>
      <c r="J46" s="29">
        <f t="shared" si="8"/>
        <v>46484</v>
      </c>
    </row>
    <row r="47" spans="1:10" x14ac:dyDescent="0.25">
      <c r="A47" s="80">
        <v>92291258</v>
      </c>
      <c r="B47" s="31" t="s">
        <v>152</v>
      </c>
      <c r="C47" s="32" t="s">
        <v>153</v>
      </c>
      <c r="D47" s="32" t="s">
        <v>33</v>
      </c>
      <c r="E47" s="20" t="s">
        <v>20</v>
      </c>
      <c r="F47" s="33">
        <v>24108</v>
      </c>
      <c r="G47" s="34" t="s">
        <v>40</v>
      </c>
      <c r="H47" s="28">
        <v>45799</v>
      </c>
      <c r="I47" s="2">
        <f t="shared" ca="1" si="0"/>
        <v>60</v>
      </c>
      <c r="J47" s="29">
        <f t="shared" si="8"/>
        <v>46163</v>
      </c>
    </row>
    <row r="48" spans="1:10" x14ac:dyDescent="0.25">
      <c r="A48" s="80">
        <v>92306488</v>
      </c>
      <c r="B48" s="39" t="s">
        <v>154</v>
      </c>
      <c r="C48" s="32" t="s">
        <v>155</v>
      </c>
      <c r="D48" s="32" t="s">
        <v>150</v>
      </c>
      <c r="E48" s="20" t="s">
        <v>20</v>
      </c>
      <c r="F48" s="33">
        <v>27663</v>
      </c>
      <c r="G48" s="34" t="s">
        <v>156</v>
      </c>
      <c r="H48" s="28">
        <v>45170</v>
      </c>
      <c r="I48" s="2">
        <f t="shared" ca="1" si="0"/>
        <v>50</v>
      </c>
      <c r="J48" s="29">
        <f t="shared" si="8"/>
        <v>45535</v>
      </c>
    </row>
    <row r="49" spans="1:10" x14ac:dyDescent="0.25">
      <c r="A49" s="78">
        <v>92295214</v>
      </c>
      <c r="B49" s="51" t="s">
        <v>157</v>
      </c>
      <c r="C49" s="17" t="s">
        <v>158</v>
      </c>
      <c r="D49" s="17" t="s">
        <v>150</v>
      </c>
      <c r="E49" s="36" t="s">
        <v>20</v>
      </c>
      <c r="F49" s="30">
        <v>26846</v>
      </c>
      <c r="G49" s="33">
        <v>34948</v>
      </c>
      <c r="H49" s="21">
        <v>46118</v>
      </c>
      <c r="I49" s="9">
        <f t="shared" ca="1" si="0"/>
        <v>53</v>
      </c>
      <c r="J49" s="22">
        <f t="shared" si="8"/>
        <v>46482</v>
      </c>
    </row>
    <row r="50" spans="1:10" x14ac:dyDescent="0.25">
      <c r="A50" s="80">
        <v>92295220</v>
      </c>
      <c r="B50" s="31" t="s">
        <v>159</v>
      </c>
      <c r="C50" s="32" t="s">
        <v>160</v>
      </c>
      <c r="D50" s="32" t="s">
        <v>150</v>
      </c>
      <c r="E50" s="20" t="s">
        <v>20</v>
      </c>
      <c r="F50" s="33">
        <v>27456</v>
      </c>
      <c r="G50" s="34" t="s">
        <v>161</v>
      </c>
      <c r="H50" s="28">
        <v>45894</v>
      </c>
      <c r="I50" s="2">
        <f t="shared" ca="1" si="0"/>
        <v>51</v>
      </c>
      <c r="J50" s="29">
        <f t="shared" si="8"/>
        <v>46258</v>
      </c>
    </row>
    <row r="51" spans="1:10" x14ac:dyDescent="0.25">
      <c r="A51" s="79">
        <v>92492878</v>
      </c>
      <c r="B51" s="23" t="s">
        <v>162</v>
      </c>
      <c r="C51" s="24" t="s">
        <v>163</v>
      </c>
      <c r="D51" s="32" t="s">
        <v>164</v>
      </c>
      <c r="E51" s="20" t="s">
        <v>39</v>
      </c>
      <c r="F51" s="26">
        <v>25575</v>
      </c>
      <c r="G51" s="27">
        <v>32822</v>
      </c>
      <c r="H51" s="28">
        <v>46087</v>
      </c>
      <c r="I51" s="2">
        <f t="shared" ca="1" si="0"/>
        <v>56</v>
      </c>
      <c r="J51" s="29">
        <f t="shared" si="8"/>
        <v>46451</v>
      </c>
    </row>
    <row r="52" spans="1:10" x14ac:dyDescent="0.25">
      <c r="A52" s="81">
        <v>92390545</v>
      </c>
      <c r="B52" s="42" t="s">
        <v>165</v>
      </c>
      <c r="C52" s="43" t="s">
        <v>166</v>
      </c>
      <c r="D52" s="43" t="s">
        <v>167</v>
      </c>
      <c r="E52" s="36" t="s">
        <v>39</v>
      </c>
      <c r="F52" s="44">
        <v>26071</v>
      </c>
      <c r="G52" s="25" t="s">
        <v>168</v>
      </c>
      <c r="H52" s="38">
        <v>46148</v>
      </c>
      <c r="I52" s="9">
        <f t="shared" ca="1" si="0"/>
        <v>55</v>
      </c>
      <c r="J52" s="22">
        <f t="shared" si="8"/>
        <v>46512</v>
      </c>
    </row>
    <row r="53" spans="1:10" x14ac:dyDescent="0.25">
      <c r="A53" s="79">
        <v>92303298</v>
      </c>
      <c r="B53" s="23" t="s">
        <v>169</v>
      </c>
      <c r="C53" s="24" t="s">
        <v>170</v>
      </c>
      <c r="D53" s="24" t="s">
        <v>171</v>
      </c>
      <c r="E53" s="20" t="s">
        <v>39</v>
      </c>
      <c r="F53" s="26">
        <v>26212</v>
      </c>
      <c r="G53" s="27">
        <v>33940</v>
      </c>
      <c r="H53" s="28">
        <v>46225</v>
      </c>
      <c r="I53" s="2">
        <f t="shared" ca="1" si="0"/>
        <v>54</v>
      </c>
      <c r="J53" s="29">
        <f t="shared" si="8"/>
        <v>46589</v>
      </c>
    </row>
    <row r="54" spans="1:10" x14ac:dyDescent="0.25">
      <c r="A54" s="79">
        <v>92492614</v>
      </c>
      <c r="B54" s="41" t="s">
        <v>172</v>
      </c>
      <c r="C54" s="24" t="s">
        <v>173</v>
      </c>
      <c r="D54" s="24" t="s">
        <v>47</v>
      </c>
      <c r="E54" s="25" t="s">
        <v>48</v>
      </c>
      <c r="F54" s="26">
        <v>25982</v>
      </c>
      <c r="G54" s="45" t="s">
        <v>174</v>
      </c>
      <c r="H54" s="28">
        <v>45364</v>
      </c>
      <c r="I54" s="2">
        <f t="shared" ca="1" si="0"/>
        <v>55</v>
      </c>
      <c r="J54" s="29">
        <f t="shared" si="8"/>
        <v>45728</v>
      </c>
    </row>
    <row r="55" spans="1:10" x14ac:dyDescent="0.25">
      <c r="A55" s="81">
        <v>92289503</v>
      </c>
      <c r="B55" s="52" t="s">
        <v>175</v>
      </c>
      <c r="C55" s="43" t="s">
        <v>176</v>
      </c>
      <c r="D55" s="43" t="s">
        <v>103</v>
      </c>
      <c r="E55" s="18" t="s">
        <v>48</v>
      </c>
      <c r="F55" s="44">
        <v>26726</v>
      </c>
      <c r="G55" s="26">
        <v>34067</v>
      </c>
      <c r="H55" s="21">
        <v>46209</v>
      </c>
      <c r="I55" s="9">
        <f t="shared" ca="1" si="0"/>
        <v>53</v>
      </c>
      <c r="J55" s="22">
        <f t="shared" si="8"/>
        <v>46573</v>
      </c>
    </row>
    <row r="56" spans="1:10" x14ac:dyDescent="0.25">
      <c r="A56" s="80">
        <v>92284161</v>
      </c>
      <c r="B56" s="31" t="s">
        <v>177</v>
      </c>
      <c r="C56" s="32" t="s">
        <v>178</v>
      </c>
      <c r="D56" s="32" t="s">
        <v>19</v>
      </c>
      <c r="E56" s="20" t="s">
        <v>29</v>
      </c>
      <c r="F56" s="33">
        <v>28033</v>
      </c>
      <c r="G56" s="33" t="s">
        <v>179</v>
      </c>
      <c r="H56" s="28">
        <v>45741</v>
      </c>
      <c r="I56" s="2">
        <f t="shared" ca="1" si="0"/>
        <v>49</v>
      </c>
      <c r="J56" s="29">
        <f>EDATE(H56-1,36)</f>
        <v>46836</v>
      </c>
    </row>
    <row r="57" spans="1:10" x14ac:dyDescent="0.25">
      <c r="A57" s="80">
        <v>22424444</v>
      </c>
      <c r="B57" s="31" t="s">
        <v>180</v>
      </c>
      <c r="C57" s="32" t="s">
        <v>181</v>
      </c>
      <c r="D57" s="32" t="s">
        <v>19</v>
      </c>
      <c r="E57" s="20" t="s">
        <v>29</v>
      </c>
      <c r="F57" s="33">
        <v>26891</v>
      </c>
      <c r="G57" s="20" t="s">
        <v>182</v>
      </c>
      <c r="H57" s="28">
        <v>46114</v>
      </c>
      <c r="I57" s="2">
        <f t="shared" ca="1" si="0"/>
        <v>53</v>
      </c>
      <c r="J57" s="29">
        <f t="shared" ref="J57:J58" si="9">EDATE(H57-1,12)</f>
        <v>46478</v>
      </c>
    </row>
    <row r="58" spans="1:10" x14ac:dyDescent="0.25">
      <c r="A58" s="80">
        <v>92304077</v>
      </c>
      <c r="B58" s="39" t="s">
        <v>183</v>
      </c>
      <c r="C58" s="32" t="s">
        <v>184</v>
      </c>
      <c r="D58" s="32" t="s">
        <v>85</v>
      </c>
      <c r="E58" s="20" t="s">
        <v>39</v>
      </c>
      <c r="F58" s="33">
        <v>26008</v>
      </c>
      <c r="G58" s="20" t="s">
        <v>185</v>
      </c>
      <c r="H58" s="28">
        <v>46184</v>
      </c>
      <c r="I58" s="2">
        <f t="shared" ca="1" si="0"/>
        <v>55</v>
      </c>
      <c r="J58" s="29">
        <f t="shared" si="9"/>
        <v>46548</v>
      </c>
    </row>
    <row r="59" spans="1:10" x14ac:dyDescent="0.25">
      <c r="A59" s="80">
        <v>24907091</v>
      </c>
      <c r="B59" s="31" t="s">
        <v>186</v>
      </c>
      <c r="C59" s="32" t="s">
        <v>187</v>
      </c>
      <c r="D59" s="32" t="s">
        <v>89</v>
      </c>
      <c r="E59" s="20" t="s">
        <v>48</v>
      </c>
      <c r="F59" s="26">
        <v>32287</v>
      </c>
      <c r="G59" s="26">
        <v>40372</v>
      </c>
      <c r="H59" s="28">
        <v>45198</v>
      </c>
      <c r="I59" s="2">
        <f t="shared" ca="1" si="0"/>
        <v>38</v>
      </c>
      <c r="J59" s="35">
        <f>EDATE(H59-1,60)</f>
        <v>47024</v>
      </c>
    </row>
    <row r="60" spans="1:10" x14ac:dyDescent="0.25">
      <c r="A60" s="79">
        <v>24619751</v>
      </c>
      <c r="B60" s="23" t="s">
        <v>188</v>
      </c>
      <c r="C60" s="24" t="s">
        <v>189</v>
      </c>
      <c r="D60" s="24" t="s">
        <v>103</v>
      </c>
      <c r="E60" s="25" t="s">
        <v>48</v>
      </c>
      <c r="F60" s="26">
        <v>26922</v>
      </c>
      <c r="G60" s="26">
        <v>35682</v>
      </c>
      <c r="H60" s="38">
        <v>46135</v>
      </c>
      <c r="I60" s="2">
        <f t="shared" ca="1" si="0"/>
        <v>52</v>
      </c>
      <c r="J60" s="29">
        <f t="shared" ref="J60" si="10">EDATE(H60-1,12)</f>
        <v>46499</v>
      </c>
    </row>
    <row r="61" spans="1:10" x14ac:dyDescent="0.25">
      <c r="A61" s="80">
        <v>24905960</v>
      </c>
      <c r="B61" s="31" t="s">
        <v>190</v>
      </c>
      <c r="C61" s="32" t="s">
        <v>191</v>
      </c>
      <c r="D61" s="32" t="s">
        <v>19</v>
      </c>
      <c r="E61" s="25" t="s">
        <v>20</v>
      </c>
      <c r="F61" s="33">
        <v>29434</v>
      </c>
      <c r="G61" s="20" t="s">
        <v>192</v>
      </c>
      <c r="H61" s="28">
        <v>45453</v>
      </c>
      <c r="I61" s="2">
        <f t="shared" ca="1" si="0"/>
        <v>46</v>
      </c>
      <c r="J61" s="29">
        <f>EDATE(H61-1,36)</f>
        <v>46547</v>
      </c>
    </row>
    <row r="62" spans="1:10" x14ac:dyDescent="0.25">
      <c r="A62" s="82">
        <v>24905601</v>
      </c>
      <c r="B62" s="31" t="s">
        <v>193</v>
      </c>
      <c r="C62" s="32" t="s">
        <v>194</v>
      </c>
      <c r="D62" s="32" t="s">
        <v>89</v>
      </c>
      <c r="E62" s="20" t="s">
        <v>48</v>
      </c>
      <c r="F62" s="33">
        <v>32737</v>
      </c>
      <c r="G62" s="20" t="s">
        <v>195</v>
      </c>
      <c r="H62" s="28">
        <v>44888</v>
      </c>
      <c r="I62" s="2">
        <f t="shared" ca="1" si="0"/>
        <v>37</v>
      </c>
      <c r="J62" s="35">
        <f t="shared" ref="J62:J63" si="11">EDATE(H62-1,60)</f>
        <v>46713</v>
      </c>
    </row>
    <row r="63" spans="1:10" x14ac:dyDescent="0.25">
      <c r="A63" s="80">
        <v>24915199</v>
      </c>
      <c r="B63" s="31" t="s">
        <v>196</v>
      </c>
      <c r="C63" s="32" t="s">
        <v>197</v>
      </c>
      <c r="D63" s="32" t="s">
        <v>89</v>
      </c>
      <c r="E63" s="20" t="s">
        <v>48</v>
      </c>
      <c r="F63" s="33">
        <v>34097</v>
      </c>
      <c r="G63" s="20" t="s">
        <v>198</v>
      </c>
      <c r="H63" s="28">
        <v>45751</v>
      </c>
      <c r="I63" s="2">
        <f t="shared" ca="1" si="0"/>
        <v>33</v>
      </c>
      <c r="J63" s="35">
        <f t="shared" si="11"/>
        <v>47576</v>
      </c>
    </row>
    <row r="64" spans="1:10" x14ac:dyDescent="0.25">
      <c r="A64" s="79">
        <v>92492985</v>
      </c>
      <c r="B64" s="23" t="s">
        <v>199</v>
      </c>
      <c r="C64" s="24" t="s">
        <v>200</v>
      </c>
      <c r="D64" s="24" t="s">
        <v>47</v>
      </c>
      <c r="E64" s="25" t="s">
        <v>48</v>
      </c>
      <c r="F64" s="26">
        <v>25068</v>
      </c>
      <c r="G64" s="25" t="s">
        <v>201</v>
      </c>
      <c r="H64" s="53">
        <v>46099</v>
      </c>
      <c r="I64" s="2">
        <f t="shared" ca="1" si="0"/>
        <v>58</v>
      </c>
      <c r="J64" s="29">
        <f t="shared" ref="J64:J65" si="12">EDATE(H64-1,12)</f>
        <v>46463</v>
      </c>
    </row>
    <row r="65" spans="1:10" x14ac:dyDescent="0.25">
      <c r="A65" s="80">
        <v>92291236</v>
      </c>
      <c r="B65" s="31" t="s">
        <v>202</v>
      </c>
      <c r="C65" s="32" t="s">
        <v>203</v>
      </c>
      <c r="D65" s="32" t="s">
        <v>19</v>
      </c>
      <c r="E65" s="25" t="s">
        <v>20</v>
      </c>
      <c r="F65" s="33">
        <v>25692</v>
      </c>
      <c r="G65" s="20" t="s">
        <v>204</v>
      </c>
      <c r="H65" s="38">
        <v>46134</v>
      </c>
      <c r="I65" s="2">
        <f t="shared" ca="1" si="0"/>
        <v>56</v>
      </c>
      <c r="J65" s="29">
        <f t="shared" si="12"/>
        <v>46498</v>
      </c>
    </row>
    <row r="66" spans="1:10" x14ac:dyDescent="0.25">
      <c r="A66" s="80">
        <v>24911128</v>
      </c>
      <c r="B66" s="31" t="s">
        <v>205</v>
      </c>
      <c r="C66" s="32" t="s">
        <v>206</v>
      </c>
      <c r="D66" s="32" t="s">
        <v>82</v>
      </c>
      <c r="E66" s="20" t="s">
        <v>39</v>
      </c>
      <c r="F66" s="33">
        <v>33106</v>
      </c>
      <c r="G66" s="33">
        <v>41873</v>
      </c>
      <c r="H66" s="38">
        <v>45716</v>
      </c>
      <c r="I66" s="2">
        <f t="shared" ca="1" si="0"/>
        <v>35</v>
      </c>
      <c r="J66" s="35">
        <f t="shared" ref="J66:J67" si="13">EDATE(H66-1,60)</f>
        <v>47541</v>
      </c>
    </row>
    <row r="67" spans="1:10" x14ac:dyDescent="0.25">
      <c r="A67" s="80">
        <v>24906132</v>
      </c>
      <c r="B67" s="31" t="s">
        <v>207</v>
      </c>
      <c r="C67" s="32" t="s">
        <v>208</v>
      </c>
      <c r="D67" s="32" t="s">
        <v>89</v>
      </c>
      <c r="E67" s="20" t="s">
        <v>48</v>
      </c>
      <c r="F67" s="33">
        <v>32228</v>
      </c>
      <c r="G67" s="20" t="s">
        <v>209</v>
      </c>
      <c r="H67" s="54">
        <v>45693</v>
      </c>
      <c r="I67" s="2">
        <f t="shared" ca="1" si="0"/>
        <v>38</v>
      </c>
      <c r="J67" s="35">
        <f t="shared" si="13"/>
        <v>47518</v>
      </c>
    </row>
    <row r="68" spans="1:10" x14ac:dyDescent="0.25">
      <c r="A68" s="80">
        <v>92290262</v>
      </c>
      <c r="B68" s="39" t="s">
        <v>210</v>
      </c>
      <c r="C68" s="32" t="s">
        <v>211</v>
      </c>
      <c r="D68" s="32" t="s">
        <v>89</v>
      </c>
      <c r="E68" s="20" t="s">
        <v>48</v>
      </c>
      <c r="F68" s="26">
        <v>27632</v>
      </c>
      <c r="G68" s="27">
        <v>35766</v>
      </c>
      <c r="H68" s="28">
        <v>44064</v>
      </c>
      <c r="I68" s="2">
        <f t="shared" ref="I68:I79" ca="1" si="14">DATEDIF(F68,TODAY(),"y")</f>
        <v>50</v>
      </c>
      <c r="J68" s="29">
        <f t="shared" ref="J68:J71" si="15">EDATE(H68-1,12)</f>
        <v>44428</v>
      </c>
    </row>
    <row r="69" spans="1:10" x14ac:dyDescent="0.25">
      <c r="A69" s="79">
        <v>92290874</v>
      </c>
      <c r="B69" s="41" t="s">
        <v>212</v>
      </c>
      <c r="C69" s="24" t="s">
        <v>213</v>
      </c>
      <c r="D69" s="24" t="s">
        <v>103</v>
      </c>
      <c r="E69" s="25" t="s">
        <v>48</v>
      </c>
      <c r="F69" s="26">
        <v>25757</v>
      </c>
      <c r="G69" s="45" t="s">
        <v>214</v>
      </c>
      <c r="H69" s="28">
        <v>45358</v>
      </c>
      <c r="I69" s="2">
        <f t="shared" ca="1" si="14"/>
        <v>56</v>
      </c>
      <c r="J69" s="29">
        <f t="shared" si="15"/>
        <v>45722</v>
      </c>
    </row>
    <row r="70" spans="1:10" x14ac:dyDescent="0.25">
      <c r="A70" s="80">
        <v>92280272</v>
      </c>
      <c r="B70" s="31" t="s">
        <v>215</v>
      </c>
      <c r="C70" s="32" t="s">
        <v>216</v>
      </c>
      <c r="D70" s="32" t="s">
        <v>19</v>
      </c>
      <c r="E70" s="20" t="s">
        <v>29</v>
      </c>
      <c r="F70" s="33">
        <v>25940</v>
      </c>
      <c r="G70" s="40" t="s">
        <v>217</v>
      </c>
      <c r="H70" s="28">
        <v>45909</v>
      </c>
      <c r="I70" s="2">
        <f t="shared" ca="1" si="14"/>
        <v>55</v>
      </c>
      <c r="J70" s="29">
        <f t="shared" si="15"/>
        <v>46273</v>
      </c>
    </row>
    <row r="71" spans="1:10" x14ac:dyDescent="0.25">
      <c r="A71" s="80">
        <v>92281026</v>
      </c>
      <c r="B71" s="31" t="s">
        <v>218</v>
      </c>
      <c r="C71" s="32" t="s">
        <v>219</v>
      </c>
      <c r="D71" s="32" t="s">
        <v>85</v>
      </c>
      <c r="E71" s="20" t="s">
        <v>39</v>
      </c>
      <c r="F71" s="33">
        <v>26009</v>
      </c>
      <c r="G71" s="34" t="s">
        <v>220</v>
      </c>
      <c r="H71" s="28">
        <v>45867</v>
      </c>
      <c r="I71" s="2">
        <f t="shared" ca="1" si="14"/>
        <v>55</v>
      </c>
      <c r="J71" s="29">
        <f t="shared" si="15"/>
        <v>46231</v>
      </c>
    </row>
    <row r="72" spans="1:10" x14ac:dyDescent="0.25">
      <c r="A72" s="78">
        <v>92291282</v>
      </c>
      <c r="B72" s="3" t="s">
        <v>221</v>
      </c>
      <c r="C72" s="17" t="s">
        <v>222</v>
      </c>
      <c r="D72" s="17" t="s">
        <v>85</v>
      </c>
      <c r="E72" s="36" t="s">
        <v>39</v>
      </c>
      <c r="F72" s="30">
        <v>28311</v>
      </c>
      <c r="G72" s="20" t="s">
        <v>223</v>
      </c>
      <c r="H72" s="55">
        <v>45726</v>
      </c>
      <c r="I72" s="9">
        <f t="shared" ca="1" si="14"/>
        <v>49</v>
      </c>
      <c r="J72" s="22">
        <f>EDATE(H72-1,36)</f>
        <v>46821</v>
      </c>
    </row>
    <row r="73" spans="1:10" x14ac:dyDescent="0.25">
      <c r="A73" s="82">
        <v>92492724</v>
      </c>
      <c r="B73" s="39" t="s">
        <v>224</v>
      </c>
      <c r="C73" s="32" t="s">
        <v>225</v>
      </c>
      <c r="D73" s="32" t="s">
        <v>67</v>
      </c>
      <c r="E73" s="20" t="s">
        <v>68</v>
      </c>
      <c r="F73" s="33">
        <v>24509</v>
      </c>
      <c r="G73" s="40" t="s">
        <v>226</v>
      </c>
      <c r="H73" s="28">
        <v>45546</v>
      </c>
      <c r="I73" s="2">
        <f t="shared" ca="1" si="14"/>
        <v>59</v>
      </c>
      <c r="J73" s="29">
        <f t="shared" ref="J73" si="16">EDATE(H73-1,12)</f>
        <v>45910</v>
      </c>
    </row>
    <row r="74" spans="1:10" x14ac:dyDescent="0.25">
      <c r="A74" s="84">
        <v>24911508</v>
      </c>
      <c r="B74" s="56" t="s">
        <v>227</v>
      </c>
      <c r="C74" s="56" t="s">
        <v>228</v>
      </c>
      <c r="D74" s="56" t="s">
        <v>229</v>
      </c>
      <c r="F74" s="57">
        <v>33343</v>
      </c>
      <c r="G74" s="58" t="s">
        <v>230</v>
      </c>
      <c r="H74" s="21">
        <v>45756</v>
      </c>
      <c r="I74" s="59"/>
      <c r="J74" s="10">
        <f>EDATE(H74-1,60)</f>
        <v>47581</v>
      </c>
    </row>
    <row r="75" spans="1:10" x14ac:dyDescent="0.25">
      <c r="A75" s="85">
        <v>24912131</v>
      </c>
      <c r="B75" s="60" t="s">
        <v>231</v>
      </c>
      <c r="C75" s="60" t="s">
        <v>232</v>
      </c>
      <c r="D75" s="60" t="s">
        <v>233</v>
      </c>
      <c r="F75" s="61">
        <v>32183</v>
      </c>
      <c r="G75" s="61">
        <v>42182</v>
      </c>
      <c r="H75" s="62">
        <v>45055</v>
      </c>
      <c r="I75">
        <f ca="1">DATEDIF(F75,TODAY(),"y")</f>
        <v>38</v>
      </c>
      <c r="J75" s="29">
        <v>46881</v>
      </c>
    </row>
    <row r="76" spans="1:10" x14ac:dyDescent="0.25">
      <c r="A76" s="85">
        <v>24913108</v>
      </c>
      <c r="B76" s="60" t="s">
        <v>234</v>
      </c>
      <c r="C76" s="60" t="s">
        <v>235</v>
      </c>
      <c r="D76" s="63" t="s">
        <v>236</v>
      </c>
      <c r="F76" s="58" t="s">
        <v>237</v>
      </c>
      <c r="G76" s="58" t="s">
        <v>238</v>
      </c>
      <c r="H76" s="62">
        <v>45688</v>
      </c>
      <c r="I76">
        <f ca="1">DATEDIF(F76,TODAY(),"y")</f>
        <v>37</v>
      </c>
      <c r="J76" s="64">
        <f t="shared" ref="J76" si="17">EDATE(H76-1,12*5)</f>
        <v>47513</v>
      </c>
    </row>
    <row r="77" spans="1:10" x14ac:dyDescent="0.25">
      <c r="A77" s="86">
        <v>24911673</v>
      </c>
      <c r="B77" t="s">
        <v>239</v>
      </c>
      <c r="C77" t="s">
        <v>240</v>
      </c>
      <c r="D77" s="65" t="s">
        <v>241</v>
      </c>
      <c r="G77" s="66"/>
      <c r="H77" s="67">
        <v>45832</v>
      </c>
      <c r="J77" s="64">
        <f>EDATE(H77-1,12*5)</f>
        <v>47657</v>
      </c>
    </row>
    <row r="78" spans="1:10" x14ac:dyDescent="0.25">
      <c r="A78" s="87">
        <v>58008408</v>
      </c>
      <c r="B78" s="68" t="s">
        <v>242</v>
      </c>
      <c r="C78" s="68" t="s">
        <v>243</v>
      </c>
      <c r="D78" s="68" t="s">
        <v>244</v>
      </c>
      <c r="E78" s="2"/>
      <c r="F78" s="2"/>
      <c r="H78" s="28"/>
      <c r="I78" s="2"/>
    </row>
    <row r="79" spans="1:10" x14ac:dyDescent="0.25">
      <c r="A79" s="87">
        <v>58003873</v>
      </c>
      <c r="B79" s="68" t="s">
        <v>245</v>
      </c>
      <c r="C79" s="68" t="s">
        <v>246</v>
      </c>
      <c r="D79" s="68" t="s">
        <v>244</v>
      </c>
      <c r="E79" s="2"/>
      <c r="F79" s="61"/>
      <c r="G79" s="69"/>
      <c r="H79" s="28"/>
      <c r="I79" s="70"/>
      <c r="J79" s="35"/>
    </row>
    <row r="80" spans="1:10" x14ac:dyDescent="0.25">
      <c r="A80" s="87">
        <v>24917037</v>
      </c>
      <c r="B80" s="1" t="s">
        <v>247</v>
      </c>
      <c r="C80" s="68"/>
      <c r="D80" s="68"/>
      <c r="E80" s="2"/>
      <c r="F80" s="2"/>
      <c r="H80" s="28"/>
      <c r="I80" s="2"/>
    </row>
    <row r="81" spans="1:10" x14ac:dyDescent="0.25">
      <c r="A81" s="87">
        <v>24916834</v>
      </c>
      <c r="B81" s="1" t="s">
        <v>248</v>
      </c>
      <c r="C81" s="2"/>
      <c r="D81" s="2"/>
      <c r="E81" s="2"/>
      <c r="F81" s="2"/>
      <c r="H81" s="28"/>
      <c r="I81" s="2"/>
    </row>
    <row r="82" spans="1:10" x14ac:dyDescent="0.25">
      <c r="A82" s="88">
        <v>24911344</v>
      </c>
      <c r="B82" s="1" t="s">
        <v>249</v>
      </c>
      <c r="C82" s="2"/>
      <c r="D82" s="2"/>
      <c r="E82" s="2"/>
      <c r="F82" s="2"/>
      <c r="H82" s="28"/>
      <c r="I82" s="2"/>
    </row>
    <row r="83" spans="1:10" x14ac:dyDescent="0.25">
      <c r="A83" s="89">
        <v>92493278</v>
      </c>
      <c r="B83" s="71" t="s">
        <v>250</v>
      </c>
      <c r="C83" s="72" t="s">
        <v>251</v>
      </c>
      <c r="D83" s="56" t="s">
        <v>252</v>
      </c>
      <c r="F83" s="73" t="s">
        <v>253</v>
      </c>
      <c r="G83" s="74">
        <v>32849</v>
      </c>
      <c r="H83" s="75">
        <v>46161</v>
      </c>
      <c r="I83">
        <f ca="1">DATEDIF(F83,TODAY(),"y")</f>
        <v>59</v>
      </c>
      <c r="J83" s="76">
        <f t="shared" ref="J83" si="18">EDATE(H83-1,12*5)</f>
        <v>47986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Pd Tanti</dc:creator>
  <cp:lastModifiedBy>Dinesh Pd Tanti</cp:lastModifiedBy>
  <dcterms:created xsi:type="dcterms:W3CDTF">2026-08-19T06:30:38Z</dcterms:created>
  <dcterms:modified xsi:type="dcterms:W3CDTF">2026-08-19T06:31:51Z</dcterms:modified>
</cp:coreProperties>
</file>
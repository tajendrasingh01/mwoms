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606FD11-3AEE-4BAA-B7D6-8103145DA637}" xr6:coauthVersionLast="47" xr6:coauthVersionMax="47" xr10:uidLastSave="{00000000-0000-0000-0000-000000000000}"/>
  <bookViews>
    <workbookView xWindow="-120" yWindow="-120" windowWidth="29040" windowHeight="15720" xr2:uid="{B88626D3-CF41-46F7-BC01-4898755B5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10" i="1" l="1"/>
  <c r="K409" i="1"/>
  <c r="J409" i="1"/>
  <c r="K408" i="1"/>
  <c r="J408" i="1"/>
  <c r="J407" i="1"/>
  <c r="K405" i="1"/>
  <c r="K404" i="1"/>
  <c r="J404" i="1"/>
  <c r="K403" i="1"/>
  <c r="J403" i="1"/>
  <c r="K402" i="1"/>
  <c r="J402" i="1"/>
  <c r="K401" i="1"/>
  <c r="K400" i="1"/>
  <c r="K399" i="1"/>
  <c r="J399" i="1"/>
  <c r="K398" i="1"/>
  <c r="J398" i="1"/>
  <c r="K397" i="1"/>
  <c r="J397" i="1"/>
  <c r="K396" i="1"/>
  <c r="K395" i="1"/>
  <c r="K394" i="1"/>
  <c r="I394" i="1"/>
  <c r="K393" i="1"/>
  <c r="I393" i="1"/>
  <c r="K392" i="1"/>
  <c r="J392" i="1"/>
  <c r="I392" i="1"/>
  <c r="K391" i="1"/>
  <c r="K390" i="1"/>
  <c r="I390" i="1"/>
  <c r="K389" i="1"/>
  <c r="J389" i="1"/>
  <c r="I389" i="1"/>
  <c r="K388" i="1"/>
  <c r="J388" i="1"/>
  <c r="I388" i="1"/>
  <c r="K387" i="1"/>
  <c r="J387" i="1"/>
  <c r="I387" i="1"/>
  <c r="K386" i="1"/>
  <c r="J386" i="1"/>
  <c r="I386" i="1"/>
  <c r="K385" i="1"/>
  <c r="J385" i="1"/>
  <c r="I385" i="1"/>
  <c r="K384" i="1"/>
  <c r="J384" i="1"/>
  <c r="I384" i="1"/>
  <c r="K383" i="1"/>
  <c r="J383" i="1"/>
  <c r="I383" i="1"/>
  <c r="K381" i="1"/>
  <c r="J381" i="1"/>
  <c r="I381" i="1"/>
  <c r="K379" i="1"/>
  <c r="J379" i="1"/>
  <c r="I379" i="1"/>
  <c r="K378" i="1"/>
  <c r="J378" i="1"/>
  <c r="I378" i="1"/>
  <c r="K377" i="1"/>
  <c r="J377" i="1"/>
  <c r="I377" i="1"/>
  <c r="K376" i="1"/>
  <c r="J376" i="1"/>
  <c r="I376" i="1"/>
  <c r="K375" i="1"/>
  <c r="J375" i="1"/>
  <c r="I375" i="1"/>
  <c r="K374" i="1"/>
  <c r="J374" i="1"/>
  <c r="I374" i="1"/>
  <c r="K373" i="1"/>
  <c r="J373" i="1"/>
  <c r="I373" i="1"/>
  <c r="K371" i="1"/>
  <c r="J371" i="1"/>
  <c r="I371" i="1"/>
  <c r="K370" i="1"/>
  <c r="J370" i="1"/>
  <c r="I370" i="1"/>
  <c r="K369" i="1"/>
  <c r="J369" i="1"/>
  <c r="I369" i="1"/>
  <c r="K368" i="1"/>
  <c r="J368" i="1"/>
  <c r="I368" i="1"/>
  <c r="K367" i="1"/>
  <c r="J367" i="1"/>
  <c r="I367" i="1"/>
  <c r="K366" i="1"/>
  <c r="J366" i="1"/>
  <c r="I366" i="1"/>
  <c r="K365" i="1"/>
  <c r="J365" i="1"/>
  <c r="I365" i="1"/>
  <c r="K364" i="1"/>
  <c r="J364" i="1"/>
  <c r="I364" i="1"/>
  <c r="K363" i="1"/>
  <c r="J363" i="1"/>
  <c r="I363" i="1"/>
  <c r="K362" i="1"/>
  <c r="J362" i="1"/>
  <c r="I362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I351" i="1"/>
  <c r="K350" i="1"/>
  <c r="J350" i="1"/>
  <c r="I350" i="1"/>
  <c r="K349" i="1"/>
  <c r="J349" i="1"/>
  <c r="I349" i="1"/>
  <c r="K348" i="1"/>
  <c r="J348" i="1"/>
  <c r="I348" i="1"/>
  <c r="K347" i="1"/>
  <c r="J347" i="1"/>
  <c r="I347" i="1"/>
  <c r="K346" i="1"/>
  <c r="J346" i="1"/>
  <c r="I346" i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I333" i="1"/>
  <c r="K332" i="1"/>
  <c r="K331" i="1"/>
  <c r="I331" i="1"/>
  <c r="K330" i="1"/>
  <c r="J330" i="1"/>
  <c r="I330" i="1"/>
  <c r="K329" i="1"/>
  <c r="J329" i="1"/>
  <c r="I329" i="1"/>
  <c r="K328" i="1"/>
  <c r="I328" i="1"/>
  <c r="K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I319" i="1"/>
  <c r="K318" i="1"/>
  <c r="J318" i="1"/>
  <c r="I318" i="1"/>
  <c r="K317" i="1"/>
  <c r="J317" i="1"/>
  <c r="I317" i="1"/>
  <c r="K316" i="1"/>
  <c r="J316" i="1"/>
  <c r="I316" i="1"/>
  <c r="K315" i="1"/>
  <c r="J315" i="1"/>
  <c r="I315" i="1"/>
  <c r="K314" i="1"/>
  <c r="J314" i="1"/>
  <c r="I314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K268" i="1"/>
  <c r="K267" i="1"/>
  <c r="K265" i="1"/>
  <c r="J265" i="1"/>
  <c r="I265" i="1"/>
  <c r="K264" i="1"/>
  <c r="J264" i="1"/>
  <c r="I264" i="1"/>
  <c r="K263" i="1"/>
  <c r="K262" i="1"/>
  <c r="K261" i="1"/>
  <c r="K260" i="1"/>
  <c r="K259" i="1"/>
  <c r="K258" i="1"/>
  <c r="K257" i="1"/>
  <c r="K256" i="1"/>
  <c r="K255" i="1"/>
  <c r="I255" i="1"/>
  <c r="K254" i="1"/>
  <c r="J254" i="1"/>
  <c r="I254" i="1"/>
  <c r="K253" i="1"/>
  <c r="J253" i="1"/>
  <c r="I253" i="1"/>
  <c r="K252" i="1"/>
  <c r="J252" i="1"/>
  <c r="I252" i="1"/>
  <c r="K251" i="1"/>
  <c r="I251" i="1"/>
  <c r="K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K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I209" i="1"/>
  <c r="K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I184" i="1"/>
  <c r="K183" i="1"/>
  <c r="I183" i="1"/>
  <c r="K182" i="1"/>
  <c r="I182" i="1"/>
  <c r="K181" i="1"/>
  <c r="I181" i="1"/>
  <c r="K180" i="1"/>
  <c r="I180" i="1"/>
  <c r="K179" i="1"/>
  <c r="I179" i="1"/>
  <c r="K178" i="1"/>
  <c r="I178" i="1"/>
  <c r="K177" i="1"/>
  <c r="I177" i="1"/>
  <c r="K176" i="1"/>
  <c r="J176" i="1"/>
  <c r="I176" i="1"/>
  <c r="K175" i="1"/>
  <c r="I175" i="1"/>
  <c r="K174" i="1"/>
  <c r="I174" i="1"/>
  <c r="K173" i="1"/>
  <c r="J173" i="1"/>
  <c r="I173" i="1"/>
  <c r="K172" i="1"/>
  <c r="I172" i="1"/>
  <c r="K171" i="1"/>
  <c r="J171" i="1"/>
  <c r="I171" i="1"/>
  <c r="K170" i="1"/>
  <c r="I170" i="1"/>
  <c r="K169" i="1"/>
  <c r="I169" i="1"/>
  <c r="K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<sst xmlns="http://schemas.openxmlformats.org/spreadsheetml/2006/main" count="1639" uniqueCount="1103">
  <si>
    <t>EIS NO.</t>
  </si>
  <si>
    <t>NAME</t>
  </si>
  <si>
    <t>FATHER NAME</t>
  </si>
  <si>
    <t>DESIGNATION</t>
  </si>
  <si>
    <t>DOB</t>
  </si>
  <si>
    <t>DOA</t>
  </si>
  <si>
    <t>PME</t>
  </si>
  <si>
    <t>VTC</t>
  </si>
  <si>
    <t>Age</t>
  </si>
  <si>
    <t xml:space="preserve"> Due PME</t>
  </si>
  <si>
    <t>Due VTC</t>
  </si>
  <si>
    <t>SHYAMLAL</t>
  </si>
  <si>
    <t>MANAR</t>
  </si>
  <si>
    <t>ELECTRICIAN</t>
  </si>
  <si>
    <t>09/07/1970</t>
  </si>
  <si>
    <t>13/06/1995</t>
  </si>
  <si>
    <t>BANMALI</t>
  </si>
  <si>
    <t>SAHADEO</t>
  </si>
  <si>
    <t>SUBSTATION ATTE</t>
  </si>
  <si>
    <t>05/05/1972</t>
  </si>
  <si>
    <t>13/08/1991</t>
  </si>
  <si>
    <t>PRANAV KUMAR  GHOSH</t>
  </si>
  <si>
    <t>P.K. GHOSH</t>
  </si>
  <si>
    <t>01/09/1976</t>
  </si>
  <si>
    <t>06/01/1995</t>
  </si>
  <si>
    <t>MOTIRAM</t>
  </si>
  <si>
    <t>JAGGA</t>
  </si>
  <si>
    <t>19/11/1970</t>
  </si>
  <si>
    <t>06/12/1989</t>
  </si>
  <si>
    <t>PRAMOD   KUMAR</t>
  </si>
  <si>
    <t>GAMBHIR SAI</t>
  </si>
  <si>
    <t>31/10/1981</t>
  </si>
  <si>
    <t>02/04/2003</t>
  </si>
  <si>
    <t>DEORAJ   KUNTIA</t>
  </si>
  <si>
    <t>MANGLA</t>
  </si>
  <si>
    <t>ELECTRICAL HELPER</t>
  </si>
  <si>
    <t>17/12/1969</t>
  </si>
  <si>
    <t>13/01/1992</t>
  </si>
  <si>
    <t>KAJAL  CHOWDHARY</t>
  </si>
  <si>
    <t>DILIP   CHOWDHARY</t>
  </si>
  <si>
    <t>01/06/1968</t>
  </si>
  <si>
    <t>05/07/1993</t>
  </si>
  <si>
    <t>NARENDRA  KUMAR</t>
  </si>
  <si>
    <t>RAMCHARAN</t>
  </si>
  <si>
    <t xml:space="preserve">ELECTRICIAN </t>
  </si>
  <si>
    <t>28/02/1976</t>
  </si>
  <si>
    <t>30/05/1998</t>
  </si>
  <si>
    <t>ARJUNA</t>
  </si>
  <si>
    <t>BANAMALI</t>
  </si>
  <si>
    <t>15/03/1970</t>
  </si>
  <si>
    <t>19/06/1993</t>
  </si>
  <si>
    <t>SAMAROO</t>
  </si>
  <si>
    <t>SEM LAL</t>
  </si>
  <si>
    <t>11/07/1972</t>
  </si>
  <si>
    <t>GANGADHAR</t>
  </si>
  <si>
    <t>NATWAR</t>
  </si>
  <si>
    <t>27/11/1969</t>
  </si>
  <si>
    <t>25/01/1993</t>
  </si>
  <si>
    <t xml:space="preserve">KIRAN KR. MISHRA </t>
  </si>
  <si>
    <t xml:space="preserve">N.K. MISHRA </t>
  </si>
  <si>
    <t>MECHANIC FITTER</t>
  </si>
  <si>
    <t>26/2/1967</t>
  </si>
  <si>
    <t>BABU BEHRA</t>
  </si>
  <si>
    <t>BRUNDA</t>
  </si>
  <si>
    <t xml:space="preserve">MECH. HELPER </t>
  </si>
  <si>
    <t>20/08/1989</t>
  </si>
  <si>
    <t>DIWAKAR</t>
  </si>
  <si>
    <t>RAGHU</t>
  </si>
  <si>
    <t>11/11/1969</t>
  </si>
  <si>
    <t>28/11/1991</t>
  </si>
  <si>
    <t>RAJKUMAR</t>
  </si>
  <si>
    <t>RAMDHARI</t>
  </si>
  <si>
    <t>01/10/1975</t>
  </si>
  <si>
    <t>07/10/2006</t>
  </si>
  <si>
    <t>KRISHNA</t>
  </si>
  <si>
    <t>GANGA</t>
  </si>
  <si>
    <t>20/07/1972</t>
  </si>
  <si>
    <t>18/06/1993</t>
  </si>
  <si>
    <t>AHIBARAN</t>
  </si>
  <si>
    <t>TIHUL          RAM</t>
  </si>
  <si>
    <t>10/08/1972</t>
  </si>
  <si>
    <t>21/12/1992</t>
  </si>
  <si>
    <t>TRINATH MANDAL</t>
  </si>
  <si>
    <t>GORANGO MANDAL</t>
  </si>
  <si>
    <t>BANS   BAHADUR</t>
  </si>
  <si>
    <t>MOHAN</t>
  </si>
  <si>
    <t>WELDER</t>
  </si>
  <si>
    <t>SAHJAD HUSSAIN</t>
  </si>
  <si>
    <t>JAUHAT  HUSSAIN</t>
  </si>
  <si>
    <t>24/05/1968</t>
  </si>
  <si>
    <t>22/07/1999</t>
  </si>
  <si>
    <t>NIVAS</t>
  </si>
  <si>
    <t>RAMO</t>
  </si>
  <si>
    <t>18/03/1972</t>
  </si>
  <si>
    <t>18/02/1993</t>
  </si>
  <si>
    <t>ROHINI PRASAD</t>
  </si>
  <si>
    <t xml:space="preserve">GOVIND PRASAD </t>
  </si>
  <si>
    <t>18/03/1975</t>
  </si>
  <si>
    <t>06/02/1998</t>
  </si>
  <si>
    <t>BIDYADHAR   BEHERA</t>
  </si>
  <si>
    <t>MAGUNI</t>
  </si>
  <si>
    <t>27/02/1971</t>
  </si>
  <si>
    <t>20/11/1992</t>
  </si>
  <si>
    <t>BUDHIA</t>
  </si>
  <si>
    <t>SAIBO</t>
  </si>
  <si>
    <t>TYNDAL</t>
  </si>
  <si>
    <t>03/04/1968</t>
  </si>
  <si>
    <t>02/05/1990</t>
  </si>
  <si>
    <t>SHIV PRASAD</t>
  </si>
  <si>
    <t>SUDHAN SAI</t>
  </si>
  <si>
    <t>RANA    PRATAP</t>
  </si>
  <si>
    <t>KAULESHWAR</t>
  </si>
  <si>
    <t>KAMLA SINGH YADAV</t>
  </si>
  <si>
    <t>GURWARI     YADAV</t>
  </si>
  <si>
    <t>27/09/1973</t>
  </si>
  <si>
    <t>04/08/1992</t>
  </si>
  <si>
    <t>SUBRAT MITRA</t>
  </si>
  <si>
    <t>B . C .MITRA</t>
  </si>
  <si>
    <t>TELEPHONE LINEMAN</t>
  </si>
  <si>
    <t>30/06/1974</t>
  </si>
  <si>
    <t>16/11/1999</t>
  </si>
  <si>
    <t>MAKRA</t>
  </si>
  <si>
    <t>NARAYAN</t>
  </si>
  <si>
    <t>KAMINI</t>
  </si>
  <si>
    <t>SUPPORT MISTRY</t>
  </si>
  <si>
    <t>16/10/1967</t>
  </si>
  <si>
    <t>UMESH  KUMAR</t>
  </si>
  <si>
    <t>INDRADEO</t>
  </si>
  <si>
    <t>30/01/1976</t>
  </si>
  <si>
    <t>SURENDRA   KUMAR</t>
  </si>
  <si>
    <t>MEHILAL</t>
  </si>
  <si>
    <t>03/03/1966</t>
  </si>
  <si>
    <t>01/07/1992</t>
  </si>
  <si>
    <t>GANTAI</t>
  </si>
  <si>
    <t>26/04/1971</t>
  </si>
  <si>
    <t>07/05/1991</t>
  </si>
  <si>
    <t>RAM PRASAD</t>
  </si>
  <si>
    <t>PREM   SAI</t>
  </si>
  <si>
    <t>08/08/1994</t>
  </si>
  <si>
    <t>RAMAWTAR</t>
  </si>
  <si>
    <t>Chandrakala</t>
  </si>
  <si>
    <t>11/07/1984</t>
  </si>
  <si>
    <t>25/02/2003</t>
  </si>
  <si>
    <t>SARJOO</t>
  </si>
  <si>
    <t>BUDHIYA</t>
  </si>
  <si>
    <t>20/8/1968</t>
  </si>
  <si>
    <t>20/09/1990</t>
  </si>
  <si>
    <t>SUKHRAM</t>
  </si>
  <si>
    <t>RAMRATAN</t>
  </si>
  <si>
    <t>LINGRAJ</t>
  </si>
  <si>
    <t>NALUKA</t>
  </si>
  <si>
    <t>03/11/1967</t>
  </si>
  <si>
    <t>26/11/1990</t>
  </si>
  <si>
    <t>JAIPAL</t>
  </si>
  <si>
    <t>RAMDAS</t>
  </si>
  <si>
    <t>18/07/1967</t>
  </si>
  <si>
    <t>22/9/1992</t>
  </si>
  <si>
    <t>SANJAY KUMAR</t>
  </si>
  <si>
    <t>CHAIT RAM</t>
  </si>
  <si>
    <t>RITESH   KUMAR</t>
  </si>
  <si>
    <t>JAGDISH        DEB</t>
  </si>
  <si>
    <t>06/06/1976</t>
  </si>
  <si>
    <t>19/01/1995</t>
  </si>
  <si>
    <t>UDAYBHAN</t>
  </si>
  <si>
    <t>BIHARI</t>
  </si>
  <si>
    <t>10/02/1972</t>
  </si>
  <si>
    <t>11/06/1993</t>
  </si>
  <si>
    <t>KAVIRAJ</t>
  </si>
  <si>
    <t>BHAGWAN</t>
  </si>
  <si>
    <t>10/01/1973</t>
  </si>
  <si>
    <t>30/07/1994</t>
  </si>
  <si>
    <t>SUBHASH CHAND</t>
  </si>
  <si>
    <t>GANPATI</t>
  </si>
  <si>
    <t>10/05/1970</t>
  </si>
  <si>
    <t>15/01/1996</t>
  </si>
  <si>
    <t>ISHWAR</t>
  </si>
  <si>
    <t>HATIA</t>
  </si>
  <si>
    <t>22/09/1968</t>
  </si>
  <si>
    <t>22/04/1995</t>
  </si>
  <si>
    <t>SUKANT</t>
  </si>
  <si>
    <t>LAXMAN  PRASAD</t>
  </si>
  <si>
    <t>SAMELAL</t>
  </si>
  <si>
    <t>05/02/1985</t>
  </si>
  <si>
    <t>23/5/2006</t>
  </si>
  <si>
    <t>MAHENDRA KUMAR</t>
  </si>
  <si>
    <t>BIHARI LAL</t>
  </si>
  <si>
    <t>RAM  KUMAR</t>
  </si>
  <si>
    <t>AJIT  SINGH</t>
  </si>
  <si>
    <t>01/02/1974</t>
  </si>
  <si>
    <t>09/05/2000</t>
  </si>
  <si>
    <t xml:space="preserve">DHANI RAM </t>
  </si>
  <si>
    <t>DHAKHAL SAI</t>
  </si>
  <si>
    <t>ANUK  DAS</t>
  </si>
  <si>
    <t>SEO MANGAL</t>
  </si>
  <si>
    <t>08/07/1972</t>
  </si>
  <si>
    <t>27/07/1991</t>
  </si>
  <si>
    <t>BHIKHARI    PRASAD</t>
  </si>
  <si>
    <t>NANDKISHOR</t>
  </si>
  <si>
    <t>02/06/1973</t>
  </si>
  <si>
    <t>13/08/1992</t>
  </si>
  <si>
    <t xml:space="preserve">AJU RAM </t>
  </si>
  <si>
    <t>BUDH RAM</t>
  </si>
  <si>
    <t>MANNU KUMAR</t>
  </si>
  <si>
    <t>FULESHWAR</t>
  </si>
  <si>
    <t>JALALUDDIN ANSARI</t>
  </si>
  <si>
    <t>SHAHJADA ANSARI</t>
  </si>
  <si>
    <t>DHANNU</t>
  </si>
  <si>
    <t>SOHARSAI</t>
  </si>
  <si>
    <t>12/12/1969</t>
  </si>
  <si>
    <t>26/03/1993</t>
  </si>
  <si>
    <t>RABINDRA  KUMAR</t>
  </si>
  <si>
    <t>MANGLU</t>
  </si>
  <si>
    <t>NIMESH KUMAR NAYAK</t>
  </si>
  <si>
    <t xml:space="preserve"> NIRANJAN</t>
  </si>
  <si>
    <t>MUJIB ALAM ANSARI</t>
  </si>
  <si>
    <t>ABDUL SAMAD</t>
  </si>
  <si>
    <t xml:space="preserve">DEO KUMAR </t>
  </si>
  <si>
    <t>AMIR SAI</t>
  </si>
  <si>
    <t xml:space="preserve">DEEPAK </t>
  </si>
  <si>
    <t>HUB LAL</t>
  </si>
  <si>
    <t xml:space="preserve">SANJAY </t>
  </si>
  <si>
    <t>DEV CHAND</t>
  </si>
  <si>
    <t xml:space="preserve">SANTOSH </t>
  </si>
  <si>
    <t>NALU   BEHARA</t>
  </si>
  <si>
    <t>DHOBA</t>
  </si>
  <si>
    <t>02/03/1973</t>
  </si>
  <si>
    <t>08/11/1994</t>
  </si>
  <si>
    <t>AB. HAMID</t>
  </si>
  <si>
    <t>AB.  MAJID</t>
  </si>
  <si>
    <t>27/10/1969</t>
  </si>
  <si>
    <t>KAVISHWAR  PRASAD</t>
  </si>
  <si>
    <t>RADHEYSHYAM</t>
  </si>
  <si>
    <t>15/09/1988</t>
  </si>
  <si>
    <t>07/10/2014</t>
  </si>
  <si>
    <t>LAXMAN   RAO</t>
  </si>
  <si>
    <t>YANKAT  RAO</t>
  </si>
  <si>
    <t>WELDER HELPER</t>
  </si>
  <si>
    <t>15/07/1983</t>
  </si>
  <si>
    <t>04/06/2014</t>
  </si>
  <si>
    <t>SUKARIYA</t>
  </si>
  <si>
    <t>DILIP KUMAR</t>
  </si>
  <si>
    <t xml:space="preserve">RATH RAM </t>
  </si>
  <si>
    <t>SUPPORT HELPER</t>
  </si>
  <si>
    <t>31/12/1974</t>
  </si>
  <si>
    <t>BHOLA</t>
  </si>
  <si>
    <t>AMARNATH</t>
  </si>
  <si>
    <t>16/05/1970</t>
  </si>
  <si>
    <t>JAI PRAKASH</t>
  </si>
  <si>
    <t>SIDDHU RAM</t>
  </si>
  <si>
    <t>15/07/1969</t>
  </si>
  <si>
    <t>16/09/1992</t>
  </si>
  <si>
    <t>MAHENDRA</t>
  </si>
  <si>
    <t>BHUKHAN</t>
  </si>
  <si>
    <t>29/04/1969</t>
  </si>
  <si>
    <t>27/05/1991</t>
  </si>
  <si>
    <t>DEONARAYAN</t>
  </si>
  <si>
    <t>JANGSAI</t>
  </si>
  <si>
    <t>RAM CHANDRA</t>
  </si>
  <si>
    <t>BALIRAM</t>
  </si>
  <si>
    <t>21/10/1966</t>
  </si>
  <si>
    <t>BHUNESHWER PRASAD</t>
  </si>
  <si>
    <t>NANKU RAM</t>
  </si>
  <si>
    <t>21/06/1972</t>
  </si>
  <si>
    <t>29/09/1993</t>
  </si>
  <si>
    <t>BHUWAN CHAND PANT</t>
  </si>
  <si>
    <t>K. C. PANT</t>
  </si>
  <si>
    <t>SUPPORT MAZ.</t>
  </si>
  <si>
    <t>21/09/1978</t>
  </si>
  <si>
    <t>RAMLAL</t>
  </si>
  <si>
    <t>HUBLAL</t>
  </si>
  <si>
    <t>COAL DRESSER</t>
  </si>
  <si>
    <t>22/11/1969</t>
  </si>
  <si>
    <t>BABUA</t>
  </si>
  <si>
    <t>RUJHOO</t>
  </si>
  <si>
    <t>27/04/1990</t>
  </si>
  <si>
    <t>BASO</t>
  </si>
  <si>
    <t>NARASINGHO</t>
  </si>
  <si>
    <t>DC DRILLER</t>
  </si>
  <si>
    <t>20/04/1968</t>
  </si>
  <si>
    <t>RAVINDRA</t>
  </si>
  <si>
    <t>UDIO</t>
  </si>
  <si>
    <t>SEEMA   REDDY</t>
  </si>
  <si>
    <t>BAICHI</t>
  </si>
  <si>
    <t>22/09/1999</t>
  </si>
  <si>
    <t>LAKHAN  LAL</t>
  </si>
  <si>
    <t>GOVIND</t>
  </si>
  <si>
    <t>17/09/1999</t>
  </si>
  <si>
    <t>BHIMO</t>
  </si>
  <si>
    <t>HARIHAR</t>
  </si>
  <si>
    <t>BCM</t>
  </si>
  <si>
    <t>28/02/1975</t>
  </si>
  <si>
    <t>28/01/1994</t>
  </si>
  <si>
    <t>SUKH DEO   SINGH</t>
  </si>
  <si>
    <t>SUNDER  LAL</t>
  </si>
  <si>
    <t>27/01/2003</t>
  </si>
  <si>
    <t>DEORAJ</t>
  </si>
  <si>
    <t>MURLI</t>
  </si>
  <si>
    <t>LINE MISTRY</t>
  </si>
  <si>
    <t>18/02/1967</t>
  </si>
  <si>
    <t>SUKH NANDAN</t>
  </si>
  <si>
    <t>SUKWARIA</t>
  </si>
  <si>
    <t>22/08/1967</t>
  </si>
  <si>
    <t>22/12/1992</t>
  </si>
  <si>
    <t>RAM    SINGH</t>
  </si>
  <si>
    <t>BAIGA</t>
  </si>
  <si>
    <t>28/12/1967</t>
  </si>
  <si>
    <t>23/1/1995</t>
  </si>
  <si>
    <t>VICKY  DAS</t>
  </si>
  <si>
    <t>DANDASHI</t>
  </si>
  <si>
    <t>STRATA CONTROL PERSON</t>
  </si>
  <si>
    <t>25/04/1998</t>
  </si>
  <si>
    <t xml:space="preserve">RAM SWARUP </t>
  </si>
  <si>
    <t>BALDEO</t>
  </si>
  <si>
    <t>SAMPLING MAZ.</t>
  </si>
  <si>
    <t>16/7/1968</t>
  </si>
  <si>
    <t>17/8/1990</t>
  </si>
  <si>
    <t>MANISH  KUMAR</t>
  </si>
  <si>
    <t>MUNNI   LAL</t>
  </si>
  <si>
    <t>17/01/1981</t>
  </si>
  <si>
    <t>11/02/2008</t>
  </si>
  <si>
    <t>CHHENA</t>
  </si>
  <si>
    <t>HAULAGE OPTR.</t>
  </si>
  <si>
    <t>MUKESH</t>
  </si>
  <si>
    <t>SANT RAM</t>
  </si>
  <si>
    <t>SURVEY MAZDOOR</t>
  </si>
  <si>
    <t>13/08/1978</t>
  </si>
  <si>
    <t>23/09/1999</t>
  </si>
  <si>
    <t>MAKHAN LAL</t>
  </si>
  <si>
    <t>KESAV   LAL</t>
  </si>
  <si>
    <t>14/02/1978</t>
  </si>
  <si>
    <t>20/05/1998</t>
  </si>
  <si>
    <t>VISWANATH</t>
  </si>
  <si>
    <t>DHAMU</t>
  </si>
  <si>
    <t>SDL OPERATOR</t>
  </si>
  <si>
    <t>RUPESH CHAND</t>
  </si>
  <si>
    <t>NANHE RAM</t>
  </si>
  <si>
    <t>SDL HELPER</t>
  </si>
  <si>
    <t>AMRIT LAL</t>
  </si>
  <si>
    <t>KAILASH RAM</t>
  </si>
  <si>
    <t>PRITAM  DAS</t>
  </si>
  <si>
    <t>PUNAU   DAS</t>
  </si>
  <si>
    <t>CABLE MAN</t>
  </si>
  <si>
    <t>KAILASH</t>
  </si>
  <si>
    <t>PUMP OPERATER</t>
  </si>
  <si>
    <t>07/12/1970</t>
  </si>
  <si>
    <t>08/01/1992</t>
  </si>
  <si>
    <t>GHURAN</t>
  </si>
  <si>
    <t>JAGMOHAN</t>
  </si>
  <si>
    <t>PUMP OPPRT</t>
  </si>
  <si>
    <t>25/10/1995</t>
  </si>
  <si>
    <t>KISHAN LAL</t>
  </si>
  <si>
    <t>MUKHRAM</t>
  </si>
  <si>
    <t>C.C. MAZ.</t>
  </si>
  <si>
    <t>SIMANCHAL</t>
  </si>
  <si>
    <t>KUSIA</t>
  </si>
  <si>
    <t>16/08/1974</t>
  </si>
  <si>
    <t>SARWAN  KUMAR</t>
  </si>
  <si>
    <t>BAJRANG</t>
  </si>
  <si>
    <t>19/04/1976</t>
  </si>
  <si>
    <t>16/05/2011</t>
  </si>
  <si>
    <t>SANTOSH   KUMAR</t>
  </si>
  <si>
    <t>AMRIT  LAL</t>
  </si>
  <si>
    <t>GEN.MAZDOOR</t>
  </si>
  <si>
    <t>03/05/1980</t>
  </si>
  <si>
    <t>28/06/2004</t>
  </si>
  <si>
    <t>SANTOSH KUMAR SAHU</t>
  </si>
  <si>
    <t>SIBBO RAM</t>
  </si>
  <si>
    <t>22/06/1984</t>
  </si>
  <si>
    <t>RAJA</t>
  </si>
  <si>
    <t>BHAGAT LAL</t>
  </si>
  <si>
    <t>SHARAD   KUMAR</t>
  </si>
  <si>
    <t>BHAGWAN        DAS</t>
  </si>
  <si>
    <t>CONVEYOR OPERAT</t>
  </si>
  <si>
    <t>07/04/1988</t>
  </si>
  <si>
    <t>09/03/2012</t>
  </si>
  <si>
    <t>RAJESH KUMAR RAJ</t>
  </si>
  <si>
    <t>PURSHOTTAM</t>
  </si>
  <si>
    <t>13/10/1991</t>
  </si>
  <si>
    <t>19/08/2019</t>
  </si>
  <si>
    <t>NIKHIL EKKA</t>
  </si>
  <si>
    <t>BIKUL</t>
  </si>
  <si>
    <t>25/10/2019</t>
  </si>
  <si>
    <t>SAGAR PRADHAN</t>
  </si>
  <si>
    <t>RAMESH PRADHAN</t>
  </si>
  <si>
    <t>20/03/1998</t>
  </si>
  <si>
    <t>26/12/2019</t>
  </si>
  <si>
    <t>SHANKRU</t>
  </si>
  <si>
    <t>31/10/1987</t>
  </si>
  <si>
    <t>21-10-2020/2025</t>
  </si>
  <si>
    <t>SATENDRA KUMAR</t>
  </si>
  <si>
    <t>AMAR SAI</t>
  </si>
  <si>
    <t>17/09/2019</t>
  </si>
  <si>
    <t>BHAGABAN SWAIN</t>
  </si>
  <si>
    <t>HARI</t>
  </si>
  <si>
    <t>13/01/1998</t>
  </si>
  <si>
    <t xml:space="preserve">SUMAN PRAKASH </t>
  </si>
  <si>
    <t>LALOO RAM</t>
  </si>
  <si>
    <t>30/12/1988</t>
  </si>
  <si>
    <t>SUKHURAM</t>
  </si>
  <si>
    <t>JAGATRAM</t>
  </si>
  <si>
    <t>15/11/1970</t>
  </si>
  <si>
    <t>HOL SAI</t>
  </si>
  <si>
    <t>NAAN</t>
  </si>
  <si>
    <t>GOVERDHAN</t>
  </si>
  <si>
    <t>SUDARSHAN</t>
  </si>
  <si>
    <t>19/09/1968</t>
  </si>
  <si>
    <t>SEEMA</t>
  </si>
  <si>
    <t>LAKHANO</t>
  </si>
  <si>
    <t>18/05/1968</t>
  </si>
  <si>
    <t>BABU RAM</t>
  </si>
  <si>
    <t>DINBANDHU</t>
  </si>
  <si>
    <t>PUMP OPERATOR</t>
  </si>
  <si>
    <t>02/05/1971</t>
  </si>
  <si>
    <t>19/05/1990</t>
  </si>
  <si>
    <t xml:space="preserve">PURAN CHANDRA </t>
  </si>
  <si>
    <t>KAIBALO</t>
  </si>
  <si>
    <t>28/05/2003</t>
  </si>
  <si>
    <t>ANIL  KUMAR     PAL</t>
  </si>
  <si>
    <t>KEWALRAM</t>
  </si>
  <si>
    <t>16/08/2011</t>
  </si>
  <si>
    <t>LAXMI PRASAD</t>
  </si>
  <si>
    <t>HEERA SAI</t>
  </si>
  <si>
    <t>KABIRAJ</t>
  </si>
  <si>
    <t>15/08/1976</t>
  </si>
  <si>
    <t>25/06/1996</t>
  </si>
  <si>
    <t>BHUPENDRA KR.  SONI</t>
  </si>
  <si>
    <t>VIJAY          KUMAR</t>
  </si>
  <si>
    <t>10/02/1989</t>
  </si>
  <si>
    <t>20/01/2016</t>
  </si>
  <si>
    <t>GOPAL</t>
  </si>
  <si>
    <t>GOVINDO</t>
  </si>
  <si>
    <t>BISOHA RAM</t>
  </si>
  <si>
    <t>SHER SINGH</t>
  </si>
  <si>
    <t>HOMDAS</t>
  </si>
  <si>
    <t>BIRSAI</t>
  </si>
  <si>
    <t>20/11/1973</t>
  </si>
  <si>
    <t>JAGDISH</t>
  </si>
  <si>
    <t>25/01/1990</t>
  </si>
  <si>
    <t>KIRTANO</t>
  </si>
  <si>
    <t>UCHHABO</t>
  </si>
  <si>
    <t>26/10/1969</t>
  </si>
  <si>
    <t xml:space="preserve">RAM MILAN </t>
  </si>
  <si>
    <t>MAHABEER</t>
  </si>
  <si>
    <t>30/01/1967</t>
  </si>
  <si>
    <t>20/02/1988</t>
  </si>
  <si>
    <t>ABDUL BARI</t>
  </si>
  <si>
    <t>AB. KHALIK</t>
  </si>
  <si>
    <t>30/01/1969</t>
  </si>
  <si>
    <t>PITAMBER</t>
  </si>
  <si>
    <t>24/04/1991</t>
  </si>
  <si>
    <t>GHASIRAM</t>
  </si>
  <si>
    <t>DHIREN</t>
  </si>
  <si>
    <t>22/09/1992</t>
  </si>
  <si>
    <t>ABHI</t>
  </si>
  <si>
    <t>ARKHITO</t>
  </si>
  <si>
    <t>GURA</t>
  </si>
  <si>
    <t>16/07/1970</t>
  </si>
  <si>
    <t>ASHOK KUMAR</t>
  </si>
  <si>
    <t>SEOCHARAN</t>
  </si>
  <si>
    <t xml:space="preserve">RAJENDRA </t>
  </si>
  <si>
    <t>JOGESHWAR</t>
  </si>
  <si>
    <t>LAL SAI</t>
  </si>
  <si>
    <t>HUWA</t>
  </si>
  <si>
    <t>20/04/1972</t>
  </si>
  <si>
    <t>SHANKAR</t>
  </si>
  <si>
    <t>LAXMAN</t>
  </si>
  <si>
    <t>18/05/1990</t>
  </si>
  <si>
    <t>RAVI SHANKAR VISHWAKARMA</t>
  </si>
  <si>
    <t xml:space="preserve"> RAM SINGH</t>
  </si>
  <si>
    <t>21/10/1986</t>
  </si>
  <si>
    <t>GOVIND CHAND BEHRA</t>
  </si>
  <si>
    <t>KANDHA BEHRA</t>
  </si>
  <si>
    <t>21/06/1981</t>
  </si>
  <si>
    <t>16/10/2001</t>
  </si>
  <si>
    <t>JUGRU</t>
  </si>
  <si>
    <t>SAFAI KARMCHARI</t>
  </si>
  <si>
    <t>18/06/2003</t>
  </si>
  <si>
    <t>NANKU</t>
  </si>
  <si>
    <t>30/10/1970</t>
  </si>
  <si>
    <t>22/11/1991</t>
  </si>
  <si>
    <t>RAJ KUMAR</t>
  </si>
  <si>
    <t>JANGIRAM</t>
  </si>
  <si>
    <t>Rakesh</t>
  </si>
  <si>
    <t>BAIJNATH</t>
  </si>
  <si>
    <t>18/11/2003</t>
  </si>
  <si>
    <t>MOHANLAL</t>
  </si>
  <si>
    <t>RAMNATH</t>
  </si>
  <si>
    <t>MAHESWAR</t>
  </si>
  <si>
    <t>SHATRUGHAN</t>
  </si>
  <si>
    <t>28/09/1992</t>
  </si>
  <si>
    <t>RAMU</t>
  </si>
  <si>
    <t>GANIYA</t>
  </si>
  <si>
    <t>28/03/1967</t>
  </si>
  <si>
    <t>AMAR SINGH</t>
  </si>
  <si>
    <t>RAGHU NATH</t>
  </si>
  <si>
    <t>MITHAIYA</t>
  </si>
  <si>
    <t>CHHOTE LAL</t>
  </si>
  <si>
    <t>15/11/1968</t>
  </si>
  <si>
    <t>16/10/1995</t>
  </si>
  <si>
    <t>SUKHAN</t>
  </si>
  <si>
    <t>14/11/1971</t>
  </si>
  <si>
    <t>KAMLESWAR</t>
  </si>
  <si>
    <t>RAMDULAR</t>
  </si>
  <si>
    <t>DHARAMPAL</t>
  </si>
  <si>
    <t>RAMA</t>
  </si>
  <si>
    <t>BRIJ BIHARI</t>
  </si>
  <si>
    <t>JAGARNATH</t>
  </si>
  <si>
    <t>AJAY  KUMAR SINGH</t>
  </si>
  <si>
    <t>MOHAN          LAL</t>
  </si>
  <si>
    <t>02/10/1985</t>
  </si>
  <si>
    <t>10/10/2014</t>
  </si>
  <si>
    <t>ANANT</t>
  </si>
  <si>
    <t>NEW</t>
  </si>
  <si>
    <t>new</t>
  </si>
  <si>
    <t>SANT GANESH</t>
  </si>
  <si>
    <t>OMKAR</t>
  </si>
  <si>
    <t>12/09/1977</t>
  </si>
  <si>
    <t>21/04/2001</t>
  </si>
  <si>
    <t>VIJAY</t>
  </si>
  <si>
    <t>NANDI</t>
  </si>
  <si>
    <t>01/04/1975</t>
  </si>
  <si>
    <t>02/09/2002</t>
  </si>
  <si>
    <t xml:space="preserve">SANJAY   </t>
  </si>
  <si>
    <t>SANKARU</t>
  </si>
  <si>
    <t>CHANDRA SHEKHAR</t>
  </si>
  <si>
    <t>SMT.  JAGMAN</t>
  </si>
  <si>
    <t>MD. JAVED   AKHTAR</t>
  </si>
  <si>
    <t>SMT. JULIKHA BEGAM</t>
  </si>
  <si>
    <t>27/06/2015</t>
  </si>
  <si>
    <t>KRISHNA KUMAR</t>
  </si>
  <si>
    <t>SOMARU</t>
  </si>
  <si>
    <t>14/07/1978</t>
  </si>
  <si>
    <t>01/12/1997</t>
  </si>
  <si>
    <t>NOHAR LAL</t>
  </si>
  <si>
    <t>SUKALOO</t>
  </si>
  <si>
    <t>MAAN SINGH</t>
  </si>
  <si>
    <t>BIRJHU</t>
  </si>
  <si>
    <t>DEEPAK PARIDA</t>
  </si>
  <si>
    <t>BISHWANATH PARIDA</t>
  </si>
  <si>
    <t>AFSAN  AHMAD</t>
  </si>
  <si>
    <t>NAIMUDDIN</t>
  </si>
  <si>
    <t>NARDHU</t>
  </si>
  <si>
    <t>13/02/1978</t>
  </si>
  <si>
    <t>31/07/2000</t>
  </si>
  <si>
    <t>DEO PRASAD</t>
  </si>
  <si>
    <t>BECHAN RAM</t>
  </si>
  <si>
    <t>SANJAY KUMAR MALIK</t>
  </si>
  <si>
    <t>BISHNU</t>
  </si>
  <si>
    <t>RAKESH KUMAR</t>
  </si>
  <si>
    <t>MADHUBAN</t>
  </si>
  <si>
    <t>BHARAT DAS</t>
  </si>
  <si>
    <t>JWAHIR</t>
  </si>
  <si>
    <t>KRISAN CHANDRA</t>
  </si>
  <si>
    <t>SET RAM</t>
  </si>
  <si>
    <t>SANDEEP KUMAR</t>
  </si>
  <si>
    <t>LOKHNATH</t>
  </si>
  <si>
    <t xml:space="preserve">RANJAN </t>
  </si>
  <si>
    <t>JHUNNU</t>
  </si>
  <si>
    <t>AJEET KUMAR LAKRA</t>
  </si>
  <si>
    <t>GHUNJU LAKRA</t>
  </si>
  <si>
    <t>Khelwan</t>
  </si>
  <si>
    <t>Dilip Kumar</t>
  </si>
  <si>
    <t>21.12.20223</t>
  </si>
  <si>
    <t>Ramesh Patil</t>
  </si>
  <si>
    <t>Pardeshi</t>
  </si>
  <si>
    <t xml:space="preserve">SHANKAR </t>
  </si>
  <si>
    <t>TRAMMER</t>
  </si>
  <si>
    <t>Akash Kumar</t>
  </si>
  <si>
    <t>Ramdeo</t>
  </si>
  <si>
    <t>Roshan Kumar</t>
  </si>
  <si>
    <t>Sarswati Bai</t>
  </si>
  <si>
    <t>RADHESHYAM</t>
  </si>
  <si>
    <t>SEOBHAJAN</t>
  </si>
  <si>
    <t>08/04/1972</t>
  </si>
  <si>
    <t>06/02/2003</t>
  </si>
  <si>
    <t>KRISHNA  KUMAR</t>
  </si>
  <si>
    <t>UDAY NAHAK</t>
  </si>
  <si>
    <t>01/07/1988</t>
  </si>
  <si>
    <t>31/12/2007</t>
  </si>
  <si>
    <t>DEO SAI</t>
  </si>
  <si>
    <t>GHUR SAI</t>
  </si>
  <si>
    <t>11/11/1970</t>
  </si>
  <si>
    <t>SANTOSH  KUMAR</t>
  </si>
  <si>
    <t>KASHI</t>
  </si>
  <si>
    <t>18/02/1968</t>
  </si>
  <si>
    <t>09/03/1988</t>
  </si>
  <si>
    <t>BANSHI</t>
  </si>
  <si>
    <t>27/01/1969</t>
  </si>
  <si>
    <t>17/02/1988</t>
  </si>
  <si>
    <t xml:space="preserve">RAM KUMAR </t>
  </si>
  <si>
    <t>SIROMAN LAL</t>
  </si>
  <si>
    <t>SAMARU</t>
  </si>
  <si>
    <t>GANPAT</t>
  </si>
  <si>
    <t>28/05/1967</t>
  </si>
  <si>
    <t>16/06/1989</t>
  </si>
  <si>
    <t>SONE   SAI</t>
  </si>
  <si>
    <t>JUTHAN</t>
  </si>
  <si>
    <t>SUBHASH</t>
  </si>
  <si>
    <t>SADA</t>
  </si>
  <si>
    <t>21/06/1993</t>
  </si>
  <si>
    <t>KARAN  SAI</t>
  </si>
  <si>
    <t>BODHAN</t>
  </si>
  <si>
    <t>ABDUL   KADIR</t>
  </si>
  <si>
    <t>GULAM   KADIR</t>
  </si>
  <si>
    <t>HIMANCHAL</t>
  </si>
  <si>
    <t>NARSINGHO</t>
  </si>
  <si>
    <t>RAJESH KUMAR</t>
  </si>
  <si>
    <t>25/10/1990</t>
  </si>
  <si>
    <t>BANSH LAL</t>
  </si>
  <si>
    <t>DASMATI BAI</t>
  </si>
  <si>
    <t>16/08/1996</t>
  </si>
  <si>
    <t>KAMPO</t>
  </si>
  <si>
    <t>KHALIYA</t>
  </si>
  <si>
    <t>DATA     RAM</t>
  </si>
  <si>
    <t>RAM BHAROSH</t>
  </si>
  <si>
    <t>15/07/1967</t>
  </si>
  <si>
    <t>BRIJ LAL</t>
  </si>
  <si>
    <t>RAVI LAL</t>
  </si>
  <si>
    <t>14/02/1977</t>
  </si>
  <si>
    <t>20/06/1998</t>
  </si>
  <si>
    <t>SANT   KUMAR</t>
  </si>
  <si>
    <t>SUNDER  PRASAD</t>
  </si>
  <si>
    <t>23/04/1970</t>
  </si>
  <si>
    <t>17/10/1992</t>
  </si>
  <si>
    <t>BINAY   NAYAK</t>
  </si>
  <si>
    <t>YUDHISTIR</t>
  </si>
  <si>
    <t>MOTILAL</t>
  </si>
  <si>
    <t>MANSAI</t>
  </si>
  <si>
    <t>VINAY SINGH</t>
  </si>
  <si>
    <t xml:space="preserve">JEEVAN LAL </t>
  </si>
  <si>
    <t xml:space="preserve">RAKESH KUMAR </t>
  </si>
  <si>
    <t>BARISAN LAL</t>
  </si>
  <si>
    <t>VIJAY  KUMAR</t>
  </si>
  <si>
    <t>GAYARAM</t>
  </si>
  <si>
    <t>19/01/1983</t>
  </si>
  <si>
    <t>SUKHDEO</t>
  </si>
  <si>
    <t>RAMASHISH</t>
  </si>
  <si>
    <t>19/05/1982</t>
  </si>
  <si>
    <t>19/10/2001</t>
  </si>
  <si>
    <t>UDAYNATH  NAYAK</t>
  </si>
  <si>
    <t>JUTIA   NAYAK</t>
  </si>
  <si>
    <t>15/04/1973</t>
  </si>
  <si>
    <t>21/11/1991</t>
  </si>
  <si>
    <t>ARJUN   LAL</t>
  </si>
  <si>
    <t>MOHIT  RAM</t>
  </si>
  <si>
    <t>01/10/1970</t>
  </si>
  <si>
    <t>03/01/1992</t>
  </si>
  <si>
    <t>RAJENDRA</t>
  </si>
  <si>
    <t>LAL JEE</t>
  </si>
  <si>
    <t>01/07/1972</t>
  </si>
  <si>
    <t>25/11/1995</t>
  </si>
  <si>
    <t>MANGLOO</t>
  </si>
  <si>
    <t>26/09/1970</t>
  </si>
  <si>
    <t>29/07/1991</t>
  </si>
  <si>
    <t>NARBADA PRASAD</t>
  </si>
  <si>
    <t>06/04/1971</t>
  </si>
  <si>
    <t>14/05/1990</t>
  </si>
  <si>
    <t>SAPUWA</t>
  </si>
  <si>
    <t>BHIKAA</t>
  </si>
  <si>
    <t>12/02/1971</t>
  </si>
  <si>
    <t>03/08/1994</t>
  </si>
  <si>
    <t>RAMPRASAD</t>
  </si>
  <si>
    <t>DEOSARAN</t>
  </si>
  <si>
    <t>01/10/1967</t>
  </si>
  <si>
    <t>02/11/1989</t>
  </si>
  <si>
    <t>RAM   MILAN</t>
  </si>
  <si>
    <t>UDAYRAM</t>
  </si>
  <si>
    <t>01/01/1968</t>
  </si>
  <si>
    <t>23/09/1993</t>
  </si>
  <si>
    <t>RAGHUNATH</t>
  </si>
  <si>
    <t>TRINATH</t>
  </si>
  <si>
    <t>30/03/1974</t>
  </si>
  <si>
    <t>VASUDEV  NAHAK</t>
  </si>
  <si>
    <t>MOHIT  MISHRA</t>
  </si>
  <si>
    <t>AMBIKA PRASAD MISHRA</t>
  </si>
  <si>
    <t>RAVINDRA MAHARANA</t>
  </si>
  <si>
    <t>VANMALI</t>
  </si>
  <si>
    <t>23/02/2004</t>
  </si>
  <si>
    <t>14/02/1971</t>
  </si>
  <si>
    <t>RAJESH  SETHI</t>
  </si>
  <si>
    <t>PANKAJ</t>
  </si>
  <si>
    <t>03/05/1986</t>
  </si>
  <si>
    <t>24/03/2006</t>
  </si>
  <si>
    <t>BRIJESH KUMAR</t>
  </si>
  <si>
    <t>SHIV NARAYAN</t>
  </si>
  <si>
    <t>SONU DAS</t>
  </si>
  <si>
    <t>GANDHARWA BEHARA</t>
  </si>
  <si>
    <t>PANDA</t>
  </si>
  <si>
    <t>PAHALU RAM</t>
  </si>
  <si>
    <t>RAM CHARITRA</t>
  </si>
  <si>
    <t>15-09-66</t>
  </si>
  <si>
    <t>31-10-91</t>
  </si>
  <si>
    <t>KESHARI PRASAD</t>
  </si>
  <si>
    <t>BODHI RAM</t>
  </si>
  <si>
    <t>30-12-67</t>
  </si>
  <si>
    <t>BIJAN   RAM</t>
  </si>
  <si>
    <t>BIR  SAI</t>
  </si>
  <si>
    <t>21/01/1978</t>
  </si>
  <si>
    <t>28/04/1997</t>
  </si>
  <si>
    <t>SOHAN  LAL</t>
  </si>
  <si>
    <t>19/04/1990</t>
  </si>
  <si>
    <t>SUKH   SAI</t>
  </si>
  <si>
    <t>JAG  SAI</t>
  </si>
  <si>
    <t>16/7/2011</t>
  </si>
  <si>
    <t>BHAWANI</t>
  </si>
  <si>
    <t>NEHALI</t>
  </si>
  <si>
    <t>SONHAR</t>
  </si>
  <si>
    <t>25/10/1972</t>
  </si>
  <si>
    <t>17/1/1998</t>
  </si>
  <si>
    <t>SURESH KUMAR</t>
  </si>
  <si>
    <t>BRAMHA DEO</t>
  </si>
  <si>
    <t xml:space="preserve">Premnath </t>
  </si>
  <si>
    <t>Ganesh</t>
  </si>
  <si>
    <t>Support Mistry</t>
  </si>
  <si>
    <t>old</t>
  </si>
  <si>
    <t>Manoj Kumar</t>
  </si>
  <si>
    <t>Manju</t>
  </si>
  <si>
    <t>SHEIKH MAHMOOD</t>
  </si>
  <si>
    <t>SHEIKH  MAKSOOD</t>
  </si>
  <si>
    <t>17/02/1993</t>
  </si>
  <si>
    <t>PARMANAND</t>
  </si>
  <si>
    <t>BHULAW RAM</t>
  </si>
  <si>
    <t xml:space="preserve">VIJAY </t>
  </si>
  <si>
    <t>BISWA</t>
  </si>
  <si>
    <t>DAMROO</t>
  </si>
  <si>
    <t>LAKHAN</t>
  </si>
  <si>
    <t>ARWAR HUSSAIN</t>
  </si>
  <si>
    <t>LALA</t>
  </si>
  <si>
    <t>SANGAM PRASAD</t>
  </si>
  <si>
    <t>BIRNDAWAN</t>
  </si>
  <si>
    <t>SURENDRA     THAKUR</t>
  </si>
  <si>
    <t>RAMSAJIWAN</t>
  </si>
  <si>
    <t>12/07/1971</t>
  </si>
  <si>
    <t>02/05/1992</t>
  </si>
  <si>
    <t>ANIL  PRASAD</t>
  </si>
  <si>
    <t>09/07/1977</t>
  </si>
  <si>
    <t>15/05/2011</t>
  </si>
  <si>
    <t>AVINASH KUMAR</t>
  </si>
  <si>
    <t>RAMESH</t>
  </si>
  <si>
    <t xml:space="preserve">SANT RAM </t>
  </si>
  <si>
    <t>MAYA RAM</t>
  </si>
  <si>
    <t>SIKANDAR</t>
  </si>
  <si>
    <t>SEOMANGAL</t>
  </si>
  <si>
    <t>07/07/1981</t>
  </si>
  <si>
    <t>06/02/2012</t>
  </si>
  <si>
    <t xml:space="preserve">RAMESHWAR PRASAD </t>
  </si>
  <si>
    <t>SHIVBACHAN</t>
  </si>
  <si>
    <t>RAJU</t>
  </si>
  <si>
    <t>DHANIRAM</t>
  </si>
  <si>
    <t>31/12/1979</t>
  </si>
  <si>
    <t>BINDESWAR</t>
  </si>
  <si>
    <t>SEO DAS</t>
  </si>
  <si>
    <t>half pay leave</t>
  </si>
  <si>
    <t>hf</t>
  </si>
  <si>
    <t>Puna</t>
  </si>
  <si>
    <t>Dhukiram</t>
  </si>
  <si>
    <t>Mech.Fitter</t>
  </si>
  <si>
    <t>Kishor Kumar</t>
  </si>
  <si>
    <t>Bhagdan</t>
  </si>
  <si>
    <t>Driller</t>
  </si>
  <si>
    <t>Shyam Sundar</t>
  </si>
  <si>
    <t>Majhibura</t>
  </si>
  <si>
    <t>SDL Optr.</t>
  </si>
  <si>
    <t>Munna</t>
  </si>
  <si>
    <t>Paharu</t>
  </si>
  <si>
    <t>Pump Optr.</t>
  </si>
  <si>
    <t>tnfr</t>
  </si>
  <si>
    <t>Ram Narayan</t>
  </si>
  <si>
    <t>Sital Pd.</t>
  </si>
  <si>
    <t>Elect. Fitter</t>
  </si>
  <si>
    <t>VINOD KUMAR TRIPATHI</t>
  </si>
  <si>
    <t>DURGA PD. TRIPATHI</t>
  </si>
  <si>
    <t>ELECTRICIAN  CAT - VI</t>
  </si>
  <si>
    <t xml:space="preserve">Devidyal </t>
  </si>
  <si>
    <t>Ramlal</t>
  </si>
  <si>
    <t>Gen. Maz.</t>
  </si>
  <si>
    <t>BAWRI .</t>
  </si>
  <si>
    <t>CONVEYOR OPERATOR CAT. IV</t>
  </si>
  <si>
    <t>KARUNA SAHU</t>
  </si>
  <si>
    <t>ARJUN</t>
  </si>
  <si>
    <t>QUAD BOLT OPTR.</t>
  </si>
  <si>
    <t>RANJUGAN</t>
  </si>
  <si>
    <t>SURAJBALI</t>
  </si>
  <si>
    <t>23/06/1967</t>
  </si>
  <si>
    <t>06/07/1989</t>
  </si>
  <si>
    <t>Raju</t>
  </si>
  <si>
    <t>SATRUGHAN      SINGH</t>
  </si>
  <si>
    <t>ELECTRIC HELPER CAT - II</t>
  </si>
  <si>
    <t>Mangla</t>
  </si>
  <si>
    <t>Nitya</t>
  </si>
  <si>
    <t>MANISH KUMAR BANARJEE</t>
  </si>
  <si>
    <t>RANADHIR  BENERJEE</t>
  </si>
  <si>
    <t>TEJURAM .</t>
  </si>
  <si>
    <t>ITBAL</t>
  </si>
  <si>
    <t>COAL DRESSER CAT. IV</t>
  </si>
  <si>
    <t>RAKESH   SINGH</t>
  </si>
  <si>
    <t>SHIVDHARI SINGH</t>
  </si>
  <si>
    <t>10/04/1980</t>
  </si>
  <si>
    <t>15/05/2001</t>
  </si>
  <si>
    <t>ROHIT PRASAD  SAHU</t>
  </si>
  <si>
    <t>ITWARI         LAL</t>
  </si>
  <si>
    <t>08/10/1985</t>
  </si>
  <si>
    <t>26/07/2004</t>
  </si>
  <si>
    <t>AJAY   PRASAD</t>
  </si>
  <si>
    <t>MUKHU</t>
  </si>
  <si>
    <t>22/04/2000</t>
  </si>
  <si>
    <t>PARSU</t>
  </si>
  <si>
    <t>KANDHO</t>
  </si>
  <si>
    <t xml:space="preserve">LOCOTAR </t>
  </si>
  <si>
    <t>21/03/1969</t>
  </si>
  <si>
    <t>14/04/1990</t>
  </si>
  <si>
    <t>RADHEY SHYAM</t>
  </si>
  <si>
    <t>DHANSAI</t>
  </si>
  <si>
    <t>18-04-69</t>
  </si>
  <si>
    <t>JIWAN  LAL</t>
  </si>
  <si>
    <t>BABU LAL</t>
  </si>
  <si>
    <t>21/11/1988</t>
  </si>
  <si>
    <t>PANKAJ   PRASAD</t>
  </si>
  <si>
    <t>SURESH         PRASAD</t>
  </si>
  <si>
    <t>21/10/2003</t>
  </si>
  <si>
    <t>LUKMAN KHAN</t>
  </si>
  <si>
    <t>LALLU KHAN</t>
  </si>
  <si>
    <t>07/01/1969</t>
  </si>
  <si>
    <t>24/01/1990</t>
  </si>
  <si>
    <t>SANTOSH KUMAR</t>
  </si>
  <si>
    <t>TIRITH RAM</t>
  </si>
  <si>
    <t>RAM PYARE</t>
  </si>
  <si>
    <t>GAJE  DAS</t>
  </si>
  <si>
    <t>18/04/1970</t>
  </si>
  <si>
    <t>RAJESH KUMAR  SINGH</t>
  </si>
  <si>
    <t>MOHAN  SINGH</t>
  </si>
  <si>
    <t>23/03/1999</t>
  </si>
  <si>
    <t>ISWAR</t>
  </si>
  <si>
    <t>BHAIGO</t>
  </si>
  <si>
    <t>18/11/1969</t>
  </si>
  <si>
    <t>DHARAMRAJ</t>
  </si>
  <si>
    <t>MANGROO</t>
  </si>
  <si>
    <t>21/12/1989</t>
  </si>
  <si>
    <t>MUNNA   RAM</t>
  </si>
  <si>
    <t>21/07/1994</t>
  </si>
  <si>
    <t>20/01/2000</t>
  </si>
  <si>
    <t>ROHNI   PRASAD</t>
  </si>
  <si>
    <t>PARMESHWAR</t>
  </si>
  <si>
    <t>06/12/1991</t>
  </si>
  <si>
    <t>JAIMANGAL</t>
  </si>
  <si>
    <t>07/06/1978</t>
  </si>
  <si>
    <t>15/06/2007</t>
  </si>
  <si>
    <t>HARI LAL</t>
  </si>
  <si>
    <t>25/10/1968</t>
  </si>
  <si>
    <t>19/11/1990</t>
  </si>
  <si>
    <t>HARUN RASID ANSARI</t>
  </si>
  <si>
    <t xml:space="preserve">MD. ISRAIL </t>
  </si>
  <si>
    <t>14/3/1998</t>
  </si>
  <si>
    <t>BIDESHI</t>
  </si>
  <si>
    <t>BABULAL</t>
  </si>
  <si>
    <t>KAWAL SAI</t>
  </si>
  <si>
    <t>RAMESH KUMAR</t>
  </si>
  <si>
    <t>NANKI DAW</t>
  </si>
  <si>
    <t xml:space="preserve">ABHIMANYU           </t>
  </si>
  <si>
    <t>05/06/1969</t>
  </si>
  <si>
    <t>10/06/1993</t>
  </si>
  <si>
    <t>SWARAJ</t>
  </si>
  <si>
    <t>DUKHA</t>
  </si>
  <si>
    <t>18/02/1970</t>
  </si>
  <si>
    <t>11/03/1991</t>
  </si>
  <si>
    <t>JETHRAM</t>
  </si>
  <si>
    <t>PILAU          RAM</t>
  </si>
  <si>
    <t>MANBAHAL</t>
  </si>
  <si>
    <t>SITA RAM</t>
  </si>
  <si>
    <t>30/03/1972</t>
  </si>
  <si>
    <t>KRISHNA CHANDRA</t>
  </si>
  <si>
    <t>BISHRAM</t>
  </si>
  <si>
    <t>09/07/1968</t>
  </si>
  <si>
    <t>BABU      LAL</t>
  </si>
  <si>
    <t>RAJA  RAM</t>
  </si>
  <si>
    <t>24/12/1968</t>
  </si>
  <si>
    <t>NIRANJAN</t>
  </si>
  <si>
    <t>GHANU</t>
  </si>
  <si>
    <t>15/07/1970</t>
  </si>
  <si>
    <t>LINGA</t>
  </si>
  <si>
    <t>07/10/1995</t>
  </si>
  <si>
    <t>SAMAY LAL</t>
  </si>
  <si>
    <t>SURENDRA</t>
  </si>
  <si>
    <t>BALDEO  RAM</t>
  </si>
  <si>
    <t>SOBHIT  RAM</t>
  </si>
  <si>
    <t>MUKHDEO RAM</t>
  </si>
  <si>
    <t>NANHU</t>
  </si>
  <si>
    <t>RAMNARAYAN</t>
  </si>
  <si>
    <t>CHHEDU</t>
  </si>
  <si>
    <t>23/03/1996</t>
  </si>
  <si>
    <t>NARSINGH</t>
  </si>
  <si>
    <t>EKKA</t>
  </si>
  <si>
    <t>27/11/1991</t>
  </si>
  <si>
    <t>UDAY NARAYAN SINGH</t>
  </si>
  <si>
    <t>ANGAR SINGH</t>
  </si>
  <si>
    <t>SANKAR  DAS</t>
  </si>
  <si>
    <t>01/07/1976</t>
  </si>
  <si>
    <t>30/08/1995</t>
  </si>
  <si>
    <t>PANO</t>
  </si>
  <si>
    <t>LAKHNO</t>
  </si>
  <si>
    <t>30/06/1972</t>
  </si>
  <si>
    <t>KUSHIA</t>
  </si>
  <si>
    <t>DINESH  KR. NAYAK</t>
  </si>
  <si>
    <t>PANSAI</t>
  </si>
  <si>
    <t>20/07/1998</t>
  </si>
  <si>
    <t>KARIMAN</t>
  </si>
  <si>
    <t>SURJAN</t>
  </si>
  <si>
    <t>AJEET  KUMAR</t>
  </si>
  <si>
    <t>AGAR SAI</t>
  </si>
  <si>
    <t xml:space="preserve"> </t>
  </si>
  <si>
    <t>SURESH</t>
  </si>
  <si>
    <t>DUBAN</t>
  </si>
  <si>
    <t>RAMPRIT</t>
  </si>
  <si>
    <t>FEEDER BR. ATT.</t>
  </si>
  <si>
    <t>SOMAR  SAI</t>
  </si>
  <si>
    <t>LUSRU</t>
  </si>
  <si>
    <t>11/12/1983</t>
  </si>
  <si>
    <t>BHORAT  RAM</t>
  </si>
  <si>
    <t>MAHESH  KUMAR</t>
  </si>
  <si>
    <t>05/08/2011</t>
  </si>
  <si>
    <t>MD. IRFAN ALI</t>
  </si>
  <si>
    <t>SAFIRUDDIN</t>
  </si>
  <si>
    <t>BIR SAI</t>
  </si>
  <si>
    <t xml:space="preserve">MANOJ KUMAR </t>
  </si>
  <si>
    <t>GANDHI</t>
  </si>
  <si>
    <t>PARMESHWAR PRASAD</t>
  </si>
  <si>
    <t>SANKATHARAM</t>
  </si>
  <si>
    <t>26/02/2000</t>
  </si>
  <si>
    <t>PRAN RAM</t>
  </si>
  <si>
    <t>RAMJEE  RAM</t>
  </si>
  <si>
    <t>DHARMO</t>
  </si>
  <si>
    <t>PRAKASH KUMAR</t>
  </si>
  <si>
    <t>BHAROSHA</t>
  </si>
  <si>
    <t xml:space="preserve">VIKASH </t>
  </si>
  <si>
    <t>KAMAL DEO</t>
  </si>
  <si>
    <t>RAMCHANDRA</t>
  </si>
  <si>
    <t>BISAHU</t>
  </si>
  <si>
    <t>25/08/1992</t>
  </si>
  <si>
    <t>BHUNESHWAR DAS</t>
  </si>
  <si>
    <t>SHIV SHANKAR DAS</t>
  </si>
  <si>
    <t>New</t>
  </si>
  <si>
    <t>Kalyan Singh</t>
  </si>
  <si>
    <t>Lagan Sai</t>
  </si>
  <si>
    <t xml:space="preserve">GAUTAM SETHI </t>
  </si>
  <si>
    <t xml:space="preserve">SURESH </t>
  </si>
  <si>
    <t>RAJOO</t>
  </si>
  <si>
    <t xml:space="preserve">NARAYAN </t>
  </si>
  <si>
    <t>MANOJ     KUMAR     SINGH</t>
  </si>
  <si>
    <t>05/06/1976</t>
  </si>
  <si>
    <t>11/12/2002</t>
  </si>
  <si>
    <t>LACHHI      RAM</t>
  </si>
  <si>
    <t>DASRATH</t>
  </si>
  <si>
    <t>12/01/1979</t>
  </si>
  <si>
    <t>08/07/2002</t>
  </si>
  <si>
    <t>SEO      KUMAR</t>
  </si>
  <si>
    <t>JOKHAN</t>
  </si>
  <si>
    <t>12/04/1968</t>
  </si>
  <si>
    <t>03/12/1992</t>
  </si>
  <si>
    <t>Hardayal</t>
  </si>
  <si>
    <t>SOHAN</t>
  </si>
  <si>
    <t>BISRAM</t>
  </si>
  <si>
    <t>17/01/1971</t>
  </si>
  <si>
    <t>BHAGIRATHI</t>
  </si>
  <si>
    <t>SHANKRO</t>
  </si>
  <si>
    <t>25-07-73</t>
  </si>
  <si>
    <t>NAND LAL</t>
  </si>
  <si>
    <t>31/10/1966</t>
  </si>
  <si>
    <t>DINESH  KUMAR</t>
  </si>
  <si>
    <t>SWAMI NATH</t>
  </si>
  <si>
    <t>20/02/2001</t>
  </si>
  <si>
    <t>GOBARDHAN</t>
  </si>
  <si>
    <t>23/12/1991</t>
  </si>
  <si>
    <t>JAGBANDHU</t>
  </si>
  <si>
    <t>13/06/2001</t>
  </si>
  <si>
    <t>JHARIYA</t>
  </si>
  <si>
    <t>DANDASI</t>
  </si>
  <si>
    <t>24/03/1990</t>
  </si>
  <si>
    <t>BHARAT LAL KHARE</t>
  </si>
  <si>
    <t>HARBANS LAL</t>
  </si>
  <si>
    <t>SHIVA</t>
  </si>
  <si>
    <t>BANCHA</t>
  </si>
  <si>
    <t>21/10/1991</t>
  </si>
  <si>
    <t>SHIV MANGAL RAM</t>
  </si>
  <si>
    <t>LALLU RAM</t>
  </si>
  <si>
    <t>RATH RAM</t>
  </si>
  <si>
    <t>01/05/1974</t>
  </si>
  <si>
    <t>16/07/1994</t>
  </si>
  <si>
    <t>MAHESHWAR</t>
  </si>
  <si>
    <t>19/07/1971</t>
  </si>
  <si>
    <t>KAUSHAL PD. KASHYAP</t>
  </si>
  <si>
    <t>KANCHAN</t>
  </si>
  <si>
    <t>PRAKASH BEHARA</t>
  </si>
  <si>
    <t>DANDIYA</t>
  </si>
  <si>
    <t>05/02/1971</t>
  </si>
  <si>
    <t>11/08/1993</t>
  </si>
  <si>
    <t>MAHETTER</t>
  </si>
  <si>
    <t>RATAN  KUMAR</t>
  </si>
  <si>
    <t>MAIKU</t>
  </si>
  <si>
    <t>02/12/1992</t>
  </si>
  <si>
    <t>NAGESHWAR</t>
  </si>
  <si>
    <t>SHYAM LAL</t>
  </si>
  <si>
    <t>LAXMI  PRADHAN</t>
  </si>
  <si>
    <t>05/08/1971</t>
  </si>
  <si>
    <t>ANANDO</t>
  </si>
  <si>
    <t>22/04/1970</t>
  </si>
  <si>
    <t>20/05/1992</t>
  </si>
  <si>
    <t>KIRTAN</t>
  </si>
  <si>
    <t>28/12/1966</t>
  </si>
  <si>
    <t>16/11/1992</t>
  </si>
  <si>
    <t>ASHIM KUMAR DEY</t>
  </si>
  <si>
    <t>BIJAY DEY</t>
  </si>
  <si>
    <t>BHIKHARI  LAL</t>
  </si>
  <si>
    <t>NANKUDAS</t>
  </si>
  <si>
    <t>17/09/1992</t>
  </si>
  <si>
    <t>DUJE RAM</t>
  </si>
  <si>
    <t>26/01/1975</t>
  </si>
  <si>
    <t>RATH   RAM</t>
  </si>
  <si>
    <t>MANI RAM</t>
  </si>
  <si>
    <t>SEO CHARAN</t>
  </si>
  <si>
    <t>DHARAMJEET</t>
  </si>
  <si>
    <t>BINOD KUMAR</t>
  </si>
  <si>
    <t>HENO</t>
  </si>
  <si>
    <t>LALU</t>
  </si>
  <si>
    <t>26/03/2000</t>
  </si>
  <si>
    <t>DILHARAN</t>
  </si>
  <si>
    <t>19/07/1969</t>
  </si>
  <si>
    <t>NANHU   SINGH</t>
  </si>
  <si>
    <t>18/12/1991</t>
  </si>
  <si>
    <t>SHYAM    SINGH</t>
  </si>
  <si>
    <t>NANKA</t>
  </si>
  <si>
    <r>
      <t>MANGL</t>
    </r>
    <r>
      <rPr>
        <b/>
        <u/>
        <sz val="9"/>
        <color theme="1"/>
        <rFont val="Times New Roman"/>
        <family val="1"/>
      </rPr>
      <t>U</t>
    </r>
  </si>
  <si>
    <t xml:space="preserve">MAKHAN </t>
  </si>
  <si>
    <t xml:space="preserve">JAGDEO SINGH </t>
  </si>
  <si>
    <t>DEORAJ SINGH</t>
  </si>
  <si>
    <t>14/12/1978</t>
  </si>
  <si>
    <t>MANGAL RAM</t>
  </si>
  <si>
    <t>INDRAJIT</t>
  </si>
  <si>
    <t>SHYAM DULAR</t>
  </si>
  <si>
    <t>BAM BAHADUR</t>
  </si>
  <si>
    <t>GIRIDHARI</t>
  </si>
  <si>
    <t>30/06/1970</t>
  </si>
  <si>
    <t>SATYADEO SINGH</t>
  </si>
  <si>
    <t>RAMDIN</t>
  </si>
  <si>
    <t>ANAND SINGH</t>
  </si>
  <si>
    <t>KAMTA SINGH</t>
  </si>
  <si>
    <t>USMAN               KHAN</t>
  </si>
  <si>
    <t>KARIMULLA</t>
  </si>
  <si>
    <t>25/08/1984</t>
  </si>
  <si>
    <t xml:space="preserve">GANPATI </t>
  </si>
  <si>
    <t>SOLE</t>
  </si>
  <si>
    <t>RAM BARAN</t>
  </si>
  <si>
    <t>JAGLAL</t>
  </si>
  <si>
    <t>BALSAI</t>
  </si>
  <si>
    <t>02/11/1971</t>
  </si>
  <si>
    <t>28/05/1993</t>
  </si>
  <si>
    <t>TEK CHAND PRASAD</t>
  </si>
  <si>
    <t>01/07/2004</t>
  </si>
  <si>
    <t>SHIV KUMAR</t>
  </si>
  <si>
    <t>LINE MAZDOOR</t>
  </si>
  <si>
    <t>AFTAB ALAM</t>
  </si>
  <si>
    <t>NASIR ALI</t>
  </si>
  <si>
    <t>NEw</t>
  </si>
  <si>
    <t>AJMER SINGH</t>
  </si>
  <si>
    <t>LAXMAN SINGH</t>
  </si>
  <si>
    <t>Mohan Reddy</t>
  </si>
  <si>
    <t>Krishna</t>
  </si>
  <si>
    <t>Prabhakar Kumar</t>
  </si>
  <si>
    <t>Awdesh Kumar</t>
  </si>
  <si>
    <t xml:space="preserve">Jaiprakash </t>
  </si>
  <si>
    <t>Rambilash</t>
  </si>
  <si>
    <t>Raj Kumar Sahu</t>
  </si>
  <si>
    <t>Bhola</t>
  </si>
  <si>
    <t>shrinath</t>
  </si>
  <si>
    <t>parasnath</t>
  </si>
  <si>
    <t>gen.mazDOOR</t>
  </si>
  <si>
    <t>Naga</t>
  </si>
  <si>
    <t>Jogi</t>
  </si>
  <si>
    <t>Udhishthir</t>
  </si>
  <si>
    <t>Adikando</t>
  </si>
  <si>
    <t>Satal Car Opr.</t>
  </si>
  <si>
    <t>Vijendra Ku. Sonwani</t>
  </si>
  <si>
    <t>Susil Kumar</t>
  </si>
  <si>
    <t>Survey Maz.</t>
  </si>
  <si>
    <t>Bideshi</t>
  </si>
  <si>
    <t>Nanku</t>
  </si>
  <si>
    <t>Suraj Singh</t>
  </si>
  <si>
    <t>Dharan Sai</t>
  </si>
  <si>
    <t>TRAINEE MAZDOOR CAT. I</t>
  </si>
  <si>
    <t>Vishnu</t>
  </si>
  <si>
    <t>DubraJ</t>
  </si>
  <si>
    <t>Perdeshi lal</t>
  </si>
  <si>
    <t>Rajkumar</t>
  </si>
  <si>
    <t>Arunedra Shukla</t>
  </si>
  <si>
    <t>Puranchand</t>
  </si>
  <si>
    <t>KAMLESH  PRASAD .</t>
  </si>
  <si>
    <t>SAHDEO</t>
  </si>
  <si>
    <t>SHIV  KUMAR .</t>
  </si>
  <si>
    <t>DILESWAR</t>
  </si>
  <si>
    <t>Ujit Singh</t>
  </si>
  <si>
    <t>Ramdhar</t>
  </si>
  <si>
    <t>Jugal Kishor</t>
  </si>
  <si>
    <t>Raj Kumar</t>
  </si>
  <si>
    <t>Jugal kishore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</si>
</sst>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24009]mm/dd/yyyy;@"/>
    <numFmt numFmtId="165" formatCode="[$-14009]dd/mm/yy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0000"/>
      <name val="Times New Roman"/>
      <family val="1"/>
    </font>
    <font>
      <b/>
      <sz val="9"/>
      <color theme="1"/>
      <name val="Times New Roman"/>
      <family val="1"/>
    </font>
    <font>
      <sz val="11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9"/>
      <name val="Times New Roman"/>
      <family val="1"/>
    </font>
    <font>
      <b/>
      <sz val="8"/>
      <color theme="1"/>
      <name val="Times New Roman"/>
      <family val="1"/>
    </font>
    <font>
      <b/>
      <sz val="11"/>
      <name val="Times New Roman"/>
      <family val="1"/>
    </font>
    <font>
      <b/>
      <sz val="11"/>
      <name val="Aptos Narrow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C00000"/>
      <name val="Times New Roman"/>
      <family val="1"/>
    </font>
    <font>
      <sz val="11"/>
      <color rgb="FFC00000"/>
      <name val="Aptos Narrow"/>
      <family val="2"/>
      <scheme val="minor"/>
    </font>
    <font>
      <b/>
      <u/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2" xfId="0" applyBorder="1"/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3" xfId="0" applyNumberFormat="1" applyBorder="1"/>
    <xf numFmtId="14" fontId="7" fillId="0" borderId="3" xfId="0" applyNumberFormat="1" applyFont="1" applyBorder="1"/>
    <xf numFmtId="0" fontId="0" fillId="0" borderId="0" xfId="0" applyAlignment="1">
      <alignment horizontal="left"/>
    </xf>
    <xf numFmtId="14" fontId="6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11" fillId="0" borderId="1" xfId="0" applyFont="1" applyBorder="1" applyAlignment="1">
      <alignment horizontal="left"/>
    </xf>
    <xf numFmtId="164" fontId="0" fillId="0" borderId="1" xfId="1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left"/>
    </xf>
    <xf numFmtId="0" fontId="6" fillId="4" borderId="1" xfId="0" applyFont="1" applyFill="1" applyBorder="1"/>
    <xf numFmtId="14" fontId="12" fillId="0" borderId="3" xfId="0" applyNumberFormat="1" applyFont="1" applyBorder="1" applyAlignment="1">
      <alignment horizontal="right"/>
    </xf>
    <xf numFmtId="14" fontId="6" fillId="0" borderId="1" xfId="0" applyNumberFormat="1" applyFont="1" applyBorder="1" applyAlignment="1">
      <alignment horizontal="left"/>
    </xf>
    <xf numFmtId="14" fontId="3" fillId="0" borderId="3" xfId="0" applyNumberFormat="1" applyFont="1" applyBorder="1"/>
    <xf numFmtId="0" fontId="6" fillId="5" borderId="1" xfId="0" applyFont="1" applyFill="1" applyBorder="1"/>
    <xf numFmtId="0" fontId="1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15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0" fillId="4" borderId="0" xfId="0" applyFill="1"/>
    <xf numFmtId="0" fontId="10" fillId="5" borderId="1" xfId="0" applyFont="1" applyFill="1" applyBorder="1"/>
    <xf numFmtId="14" fontId="6" fillId="0" borderId="3" xfId="0" applyNumberFormat="1" applyFont="1" applyBorder="1" applyAlignment="1">
      <alignment horizontal="center"/>
    </xf>
    <xf numFmtId="0" fontId="6" fillId="3" borderId="1" xfId="0" applyFont="1" applyFill="1" applyBorder="1"/>
    <xf numFmtId="0" fontId="6" fillId="6" borderId="1" xfId="0" applyFont="1" applyFill="1" applyBorder="1" applyAlignment="1">
      <alignment horizontal="left"/>
    </xf>
    <xf numFmtId="14" fontId="2" fillId="2" borderId="3" xfId="2" applyNumberFormat="1" applyBorder="1"/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5" fillId="0" borderId="1" xfId="0" applyFont="1" applyBorder="1"/>
    <xf numFmtId="0" fontId="18" fillId="0" borderId="1" xfId="0" applyFont="1" applyBorder="1"/>
    <xf numFmtId="0" fontId="6" fillId="0" borderId="3" xfId="0" applyFont="1" applyBorder="1" applyAlignment="1">
      <alignment horizontal="center"/>
    </xf>
    <xf numFmtId="0" fontId="10" fillId="0" borderId="1" xfId="0" applyFont="1" applyBorder="1"/>
    <xf numFmtId="0" fontId="18" fillId="0" borderId="1" xfId="0" applyFont="1" applyBorder="1" applyAlignment="1">
      <alignment horizontal="left"/>
    </xf>
    <xf numFmtId="14" fontId="0" fillId="0" borderId="3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7" xfId="0" applyBorder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 vertical="center"/>
    </xf>
    <xf numFmtId="14" fontId="0" fillId="0" borderId="1" xfId="0" applyNumberFormat="1" applyBorder="1" applyAlignment="1">
      <alignment horizontal="right"/>
    </xf>
    <xf numFmtId="14" fontId="0" fillId="0" borderId="2" xfId="0" applyNumberFormat="1" applyBorder="1" applyAlignment="1">
      <alignment horizontal="right"/>
    </xf>
    <xf numFmtId="14" fontId="7" fillId="0" borderId="1" xfId="0" applyNumberFormat="1" applyFont="1" applyBorder="1" applyAlignment="1">
      <alignment horizontal="right"/>
    </xf>
    <xf numFmtId="14" fontId="0" fillId="4" borderId="1" xfId="0" applyNumberFormat="1" applyFill="1" applyBorder="1" applyAlignment="1">
      <alignment horizontal="right"/>
    </xf>
    <xf numFmtId="14" fontId="14" fillId="0" borderId="1" xfId="0" applyNumberFormat="1" applyFont="1" applyBorder="1" applyAlignment="1">
      <alignment horizontal="right"/>
    </xf>
    <xf numFmtId="14" fontId="14" fillId="0" borderId="3" xfId="0" applyNumberFormat="1" applyFont="1" applyBorder="1" applyAlignment="1">
      <alignment horizontal="right"/>
    </xf>
    <xf numFmtId="0" fontId="2" fillId="2" borderId="1" xfId="2" applyBorder="1" applyAlignment="1">
      <alignment horizontal="right"/>
    </xf>
    <xf numFmtId="0" fontId="0" fillId="0" borderId="1" xfId="0" applyBorder="1" applyAlignment="1">
      <alignment horizontal="right"/>
    </xf>
    <xf numFmtId="0" fontId="2" fillId="2" borderId="0" xfId="2" applyAlignment="1">
      <alignment horizontal="right"/>
    </xf>
    <xf numFmtId="14" fontId="7" fillId="0" borderId="2" xfId="0" applyNumberFormat="1" applyFont="1" applyBorder="1" applyAlignment="1">
      <alignment horizontal="right"/>
    </xf>
    <xf numFmtId="14" fontId="15" fillId="0" borderId="3" xfId="0" applyNumberFormat="1" applyFont="1" applyBorder="1" applyAlignment="1">
      <alignment horizontal="right"/>
    </xf>
    <xf numFmtId="14" fontId="0" fillId="4" borderId="5" xfId="0" applyNumberFormat="1" applyFill="1" applyBorder="1" applyAlignment="1">
      <alignment horizontal="right" vertical="top"/>
    </xf>
    <xf numFmtId="14" fontId="0" fillId="0" borderId="0" xfId="0" applyNumberFormat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2" fillId="2" borderId="2" xfId="2" applyBorder="1" applyAlignment="1">
      <alignment horizontal="right"/>
    </xf>
    <xf numFmtId="14" fontId="0" fillId="7" borderId="0" xfId="0" applyNumberFormat="1" applyFill="1" applyAlignment="1">
      <alignment horizontal="right"/>
    </xf>
    <xf numFmtId="14" fontId="0" fillId="7" borderId="1" xfId="0" applyNumberFormat="1" applyFill="1" applyBorder="1" applyAlignment="1">
      <alignment horizontal="right"/>
    </xf>
    <xf numFmtId="14" fontId="19" fillId="0" borderId="1" xfId="0" applyNumberFormat="1" applyFont="1" applyBorder="1" applyAlignment="1">
      <alignment horizontal="right"/>
    </xf>
    <xf numFmtId="14" fontId="2" fillId="2" borderId="1" xfId="2" applyNumberFormat="1" applyBorder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14" fontId="7" fillId="0" borderId="3" xfId="0" applyNumberFormat="1" applyFont="1" applyBorder="1" applyAlignment="1">
      <alignment horizontal="right"/>
    </xf>
    <xf numFmtId="14" fontId="13" fillId="0" borderId="3" xfId="0" applyNumberFormat="1" applyFont="1" applyBorder="1" applyAlignment="1">
      <alignment horizontal="right"/>
    </xf>
    <xf numFmtId="14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14" fontId="3" fillId="0" borderId="3" xfId="0" applyNumberFormat="1" applyFont="1" applyBorder="1" applyAlignment="1">
      <alignment horizontal="right"/>
    </xf>
    <xf numFmtId="14" fontId="16" fillId="0" borderId="3" xfId="0" applyNumberFormat="1" applyFont="1" applyBorder="1" applyAlignment="1">
      <alignment horizontal="right"/>
    </xf>
    <xf numFmtId="14" fontId="8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14" fontId="0" fillId="0" borderId="5" xfId="0" applyNumberFormat="1" applyBorder="1" applyAlignment="1">
      <alignment horizontal="right"/>
    </xf>
    <xf numFmtId="14" fontId="0" fillId="0" borderId="6" xfId="0" applyNumberFormat="1" applyBorder="1" applyAlignment="1">
      <alignment horizontal="right"/>
    </xf>
    <xf numFmtId="14" fontId="0" fillId="4" borderId="3" xfId="0" applyNumberFormat="1" applyFill="1" applyBorder="1" applyAlignment="1">
      <alignment horizontal="right"/>
    </xf>
    <xf numFmtId="14" fontId="8" fillId="0" borderId="1" xfId="0" applyNumberFormat="1" applyFont="1" applyBorder="1" applyAlignment="1">
      <alignment horizontal="right"/>
    </xf>
    <xf numFmtId="14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</cellXfs>
  <cellStyles count="3">
    <cellStyle name="Bad" xfId="2" builtinId="27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5546-A9F6-45E4-9E80-111D6CC8EB40}">
  <dimension ref="A1:K410"/>
  <sheetViews>
    <sheetView tabSelected="1" workbookViewId="0">
      <selection activeCell="L1" sqref="L1:L1048576"/>
    </sheetView>
  </sheetViews>
  <sheetFormatPr defaultRowHeight="15" x14ac:dyDescent="0.25"/>
  <cols>
    <col min="1" max="1" width="44.28515625" style="11" customWidth="1"/>
    <col min="3" max="3" width="17.5703125" customWidth="1"/>
    <col min="4" max="4" width="30.42578125" customWidth="1"/>
    <col min="5" max="5" width="25.28515625" customWidth="1"/>
    <col min="7" max="8" width="17.28515625" style="78" customWidth="1"/>
    <col min="9" max="9" width="7.140625" customWidth="1"/>
    <col min="10" max="10" width="17.85546875" style="78" customWidth="1"/>
    <col min="11" max="11" width="21.28515625" customWidth="1"/>
  </cols>
  <sheetData>
    <row r="1" spans="1:11" x14ac:dyDescent="0.25">
      <c r="A1" s="2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58" t="s">
        <v>6</v>
      </c>
      <c r="H1" s="58" t="s">
        <v>7</v>
      </c>
      <c r="I1" s="49" t="s">
        <v>8</v>
      </c>
      <c r="J1" s="58" t="s">
        <v>9</v>
      </c>
      <c r="K1" s="49" t="s">
        <v>10</v>
      </c>
    </row>
    <row r="2" spans="1:11" x14ac:dyDescent="0.25">
      <c r="A2" s="6">
        <v>92493622</v>
      </c>
      <c r="B2" s="5" t="s">
        <v>11</v>
      </c>
      <c r="C2" s="6" t="s">
        <v>12</v>
      </c>
      <c r="D2" s="7" t="s">
        <v>13</v>
      </c>
      <c r="E2" s="4" t="s">
        <v>14</v>
      </c>
      <c r="F2" s="4" t="s">
        <v>15</v>
      </c>
      <c r="G2" s="59">
        <v>45863</v>
      </c>
      <c r="H2" s="59">
        <v>45161</v>
      </c>
      <c r="I2" s="2">
        <f t="shared" ref="I2:I45" ca="1" si="0">DATEDIF(E2,TODAY(),"y")</f>
        <v>56</v>
      </c>
      <c r="J2" s="59">
        <f>EDATE(G2-1,12)</f>
        <v>46227</v>
      </c>
      <c r="K2" s="9">
        <f>EDATE(H2-1,12*5)</f>
        <v>46987</v>
      </c>
    </row>
    <row r="3" spans="1:11" x14ac:dyDescent="0.25">
      <c r="A3" s="6">
        <v>92492471</v>
      </c>
      <c r="B3" s="5" t="s">
        <v>16</v>
      </c>
      <c r="C3" s="6" t="s">
        <v>17</v>
      </c>
      <c r="D3" s="6" t="s">
        <v>18</v>
      </c>
      <c r="E3" s="4" t="s">
        <v>19</v>
      </c>
      <c r="F3" s="4" t="s">
        <v>20</v>
      </c>
      <c r="G3" s="59">
        <v>45870</v>
      </c>
      <c r="H3" s="59">
        <v>45786</v>
      </c>
      <c r="I3" s="2">
        <f t="shared" ca="1" si="0"/>
        <v>54</v>
      </c>
      <c r="J3" s="59">
        <f>EDATE(G3-1,12)</f>
        <v>46234</v>
      </c>
      <c r="K3" s="10">
        <f>EDATE(H3-1,12*5)</f>
        <v>47611</v>
      </c>
    </row>
    <row r="4" spans="1:11" x14ac:dyDescent="0.25">
      <c r="A4" s="6">
        <v>92492490</v>
      </c>
      <c r="B4" s="5" t="s">
        <v>21</v>
      </c>
      <c r="C4" s="6" t="s">
        <v>22</v>
      </c>
      <c r="D4" s="6" t="s">
        <v>13</v>
      </c>
      <c r="E4" s="4" t="s">
        <v>23</v>
      </c>
      <c r="F4" s="4" t="s">
        <v>24</v>
      </c>
      <c r="G4" s="59">
        <v>45902</v>
      </c>
      <c r="H4" s="59">
        <v>45412</v>
      </c>
      <c r="I4" s="11">
        <f t="shared" ca="1" si="0"/>
        <v>49</v>
      </c>
      <c r="J4" s="91">
        <f>EDATE(G4-1,36)</f>
        <v>46997</v>
      </c>
      <c r="K4" s="9">
        <f>EDATE(H4-1,12*5)</f>
        <v>47237</v>
      </c>
    </row>
    <row r="5" spans="1:11" x14ac:dyDescent="0.25">
      <c r="A5" s="6">
        <v>92289642</v>
      </c>
      <c r="B5" s="5" t="s">
        <v>25</v>
      </c>
      <c r="C5" s="6" t="s">
        <v>26</v>
      </c>
      <c r="D5" s="6" t="s">
        <v>13</v>
      </c>
      <c r="E5" s="4" t="s">
        <v>27</v>
      </c>
      <c r="F5" s="4" t="s">
        <v>28</v>
      </c>
      <c r="G5" s="59">
        <v>46078</v>
      </c>
      <c r="H5" s="59">
        <v>45969</v>
      </c>
      <c r="I5" s="11">
        <f t="shared" ca="1" si="0"/>
        <v>55</v>
      </c>
      <c r="J5" s="59">
        <f>EDATE(G5-1,12)</f>
        <v>46442</v>
      </c>
      <c r="K5" s="9">
        <f>EDATE(H5-1,12*5)</f>
        <v>47794</v>
      </c>
    </row>
    <row r="6" spans="1:11" x14ac:dyDescent="0.25">
      <c r="A6" s="6">
        <v>92400987</v>
      </c>
      <c r="B6" s="5" t="s">
        <v>29</v>
      </c>
      <c r="C6" s="6" t="s">
        <v>30</v>
      </c>
      <c r="D6" s="6" t="s">
        <v>13</v>
      </c>
      <c r="E6" s="4" t="s">
        <v>31</v>
      </c>
      <c r="F6" s="4" t="s">
        <v>32</v>
      </c>
      <c r="G6" s="60">
        <v>45523</v>
      </c>
      <c r="H6" s="59">
        <v>45628</v>
      </c>
      <c r="I6" s="11">
        <f t="shared" ca="1" si="0"/>
        <v>44</v>
      </c>
      <c r="J6" s="59">
        <f>EDATE(G6-1,60)</f>
        <v>47348</v>
      </c>
      <c r="K6" s="9">
        <f>EDATE(H6-1,12*5)</f>
        <v>47453</v>
      </c>
    </row>
    <row r="7" spans="1:11" x14ac:dyDescent="0.25">
      <c r="A7" s="6">
        <v>92493585</v>
      </c>
      <c r="B7" s="5" t="s">
        <v>33</v>
      </c>
      <c r="C7" s="6" t="s">
        <v>34</v>
      </c>
      <c r="D7" s="6" t="s">
        <v>35</v>
      </c>
      <c r="E7" s="4" t="s">
        <v>36</v>
      </c>
      <c r="F7" s="4" t="s">
        <v>37</v>
      </c>
      <c r="G7" s="59">
        <v>46113</v>
      </c>
      <c r="H7" s="59">
        <v>45614</v>
      </c>
      <c r="I7" s="11">
        <f t="shared" ca="1" si="0"/>
        <v>56</v>
      </c>
      <c r="J7" s="59">
        <f>EDATE(G7-1,12)</f>
        <v>46477</v>
      </c>
      <c r="K7" s="9">
        <f>EDATE(H7-1,12*5)</f>
        <v>47439</v>
      </c>
    </row>
    <row r="8" spans="1:11" x14ac:dyDescent="0.25">
      <c r="A8" s="6">
        <v>92493348</v>
      </c>
      <c r="B8" s="5" t="s">
        <v>38</v>
      </c>
      <c r="C8" s="6" t="s">
        <v>39</v>
      </c>
      <c r="D8" s="6" t="s">
        <v>13</v>
      </c>
      <c r="E8" s="4" t="s">
        <v>40</v>
      </c>
      <c r="F8" s="4" t="s">
        <v>41</v>
      </c>
      <c r="G8" s="59">
        <v>46101</v>
      </c>
      <c r="H8" s="59">
        <v>44986</v>
      </c>
      <c r="I8" s="11">
        <f t="shared" ca="1" si="0"/>
        <v>58</v>
      </c>
      <c r="J8" s="59">
        <f>EDATE(G8-1,12)</f>
        <v>46465</v>
      </c>
      <c r="K8" s="9">
        <f>EDATE(H8-1,12*5)</f>
        <v>46811</v>
      </c>
    </row>
    <row r="9" spans="1:11" x14ac:dyDescent="0.25">
      <c r="A9" s="6">
        <v>92492494</v>
      </c>
      <c r="B9" s="5" t="s">
        <v>42</v>
      </c>
      <c r="C9" s="6" t="s">
        <v>43</v>
      </c>
      <c r="D9" s="6" t="s">
        <v>44</v>
      </c>
      <c r="E9" s="4" t="s">
        <v>45</v>
      </c>
      <c r="F9" s="4" t="s">
        <v>46</v>
      </c>
      <c r="G9" s="59">
        <v>45173</v>
      </c>
      <c r="H9" s="59">
        <v>45453</v>
      </c>
      <c r="I9" s="11">
        <f t="shared" ca="1" si="0"/>
        <v>50</v>
      </c>
      <c r="J9" s="59">
        <f>EDATE(G9-1,36)</f>
        <v>46268</v>
      </c>
      <c r="K9" s="9">
        <f>EDATE(H9-1,12*5)</f>
        <v>47278</v>
      </c>
    </row>
    <row r="10" spans="1:11" x14ac:dyDescent="0.25">
      <c r="A10" s="6"/>
      <c r="B10" s="5"/>
      <c r="C10" s="6"/>
      <c r="D10" s="6"/>
      <c r="E10" s="4"/>
      <c r="F10" s="4"/>
      <c r="G10" s="59"/>
      <c r="H10" s="59"/>
      <c r="I10" s="11"/>
      <c r="J10" s="92"/>
      <c r="K10" s="9"/>
    </row>
    <row r="11" spans="1:11" x14ac:dyDescent="0.25">
      <c r="A11" s="6">
        <v>92292274</v>
      </c>
      <c r="B11" s="5" t="s">
        <v>47</v>
      </c>
      <c r="C11" s="6" t="s">
        <v>48</v>
      </c>
      <c r="D11" s="6" t="s">
        <v>35</v>
      </c>
      <c r="E11" s="4" t="s">
        <v>49</v>
      </c>
      <c r="F11" s="4" t="s">
        <v>50</v>
      </c>
      <c r="G11" s="59">
        <v>45742</v>
      </c>
      <c r="H11" s="59">
        <v>44995</v>
      </c>
      <c r="I11" s="11">
        <f t="shared" ca="1" si="0"/>
        <v>56</v>
      </c>
      <c r="J11" s="72">
        <f t="shared" ref="J11:J16" si="1">EDATE(G11-1,12)</f>
        <v>46106</v>
      </c>
      <c r="K11" s="9">
        <f>EDATE(H11-1,12*5)</f>
        <v>46821</v>
      </c>
    </row>
    <row r="12" spans="1:11" x14ac:dyDescent="0.25">
      <c r="A12" s="6">
        <v>92289634</v>
      </c>
      <c r="B12" s="5" t="s">
        <v>51</v>
      </c>
      <c r="C12" s="6" t="s">
        <v>52</v>
      </c>
      <c r="D12" s="6" t="s">
        <v>35</v>
      </c>
      <c r="E12" s="4" t="s">
        <v>53</v>
      </c>
      <c r="F12" s="12">
        <v>36668</v>
      </c>
      <c r="G12" s="59">
        <v>46185</v>
      </c>
      <c r="H12" s="59">
        <v>45132</v>
      </c>
      <c r="I12" s="11">
        <f t="shared" ca="1" si="0"/>
        <v>54</v>
      </c>
      <c r="J12" s="72">
        <f t="shared" si="1"/>
        <v>46549</v>
      </c>
      <c r="K12" s="9">
        <f>EDATE(H12-1,12*5)</f>
        <v>46958</v>
      </c>
    </row>
    <row r="13" spans="1:11" x14ac:dyDescent="0.25">
      <c r="A13" s="6"/>
      <c r="B13" s="5" t="s">
        <v>54</v>
      </c>
      <c r="C13" s="6" t="s">
        <v>55</v>
      </c>
      <c r="D13" s="6" t="s">
        <v>18</v>
      </c>
      <c r="E13" s="4" t="s">
        <v>56</v>
      </c>
      <c r="F13" s="4" t="s">
        <v>57</v>
      </c>
      <c r="G13" s="59">
        <v>45891</v>
      </c>
      <c r="H13" s="59">
        <v>45504</v>
      </c>
      <c r="I13" s="2">
        <f t="shared" ca="1" si="0"/>
        <v>56</v>
      </c>
      <c r="J13" s="92">
        <f t="shared" si="1"/>
        <v>46255</v>
      </c>
      <c r="K13" s="9">
        <f>EDATE(H13-1,12*5)</f>
        <v>47329</v>
      </c>
    </row>
    <row r="14" spans="1:11" x14ac:dyDescent="0.25">
      <c r="A14" s="15">
        <v>92493278</v>
      </c>
      <c r="B14" s="14" t="s">
        <v>58</v>
      </c>
      <c r="C14" s="15" t="s">
        <v>59</v>
      </c>
      <c r="D14" s="6" t="s">
        <v>60</v>
      </c>
      <c r="E14" s="16" t="s">
        <v>61</v>
      </c>
      <c r="F14" s="16">
        <v>32849</v>
      </c>
      <c r="G14" s="59">
        <v>46161</v>
      </c>
      <c r="H14" s="61">
        <v>45863</v>
      </c>
      <c r="I14" s="11">
        <f t="shared" ca="1" si="0"/>
        <v>59</v>
      </c>
      <c r="J14" s="92">
        <f t="shared" si="1"/>
        <v>46525</v>
      </c>
      <c r="K14" s="10">
        <f>EDATE(H14-1,12*5)</f>
        <v>47688</v>
      </c>
    </row>
    <row r="15" spans="1:11" x14ac:dyDescent="0.25">
      <c r="A15" s="6">
        <v>92494418</v>
      </c>
      <c r="B15" s="5" t="s">
        <v>62</v>
      </c>
      <c r="C15" s="6" t="s">
        <v>63</v>
      </c>
      <c r="D15" s="6" t="s">
        <v>64</v>
      </c>
      <c r="E15" s="12">
        <v>25418</v>
      </c>
      <c r="F15" s="4" t="s">
        <v>65</v>
      </c>
      <c r="G15" s="59">
        <v>46092</v>
      </c>
      <c r="H15" s="59">
        <v>45418</v>
      </c>
      <c r="I15" s="11">
        <f t="shared" ca="1" si="0"/>
        <v>57</v>
      </c>
      <c r="J15" s="59">
        <f t="shared" si="1"/>
        <v>46456</v>
      </c>
      <c r="K15" s="9">
        <f>EDATE(H15-1,12*5)</f>
        <v>47243</v>
      </c>
    </row>
    <row r="16" spans="1:11" x14ac:dyDescent="0.25">
      <c r="A16" s="6">
        <v>92304007</v>
      </c>
      <c r="B16" s="5" t="s">
        <v>66</v>
      </c>
      <c r="C16" s="6" t="s">
        <v>67</v>
      </c>
      <c r="D16" s="6" t="s">
        <v>60</v>
      </c>
      <c r="E16" s="4" t="s">
        <v>68</v>
      </c>
      <c r="F16" s="4" t="s">
        <v>69</v>
      </c>
      <c r="G16" s="59">
        <v>45894</v>
      </c>
      <c r="H16" s="59">
        <v>45750</v>
      </c>
      <c r="I16" s="2">
        <f t="shared" ca="1" si="0"/>
        <v>56</v>
      </c>
      <c r="J16" s="91">
        <f t="shared" si="1"/>
        <v>46258</v>
      </c>
      <c r="K16" s="9">
        <f>EDATE(H16-1,12*5)</f>
        <v>47575</v>
      </c>
    </row>
    <row r="17" spans="1:11" x14ac:dyDescent="0.25">
      <c r="A17" s="6">
        <v>24903337</v>
      </c>
      <c r="B17" s="6" t="s">
        <v>70</v>
      </c>
      <c r="C17" s="6" t="s">
        <v>71</v>
      </c>
      <c r="D17" s="6" t="s">
        <v>60</v>
      </c>
      <c r="E17" s="4" t="s">
        <v>72</v>
      </c>
      <c r="F17" s="4" t="s">
        <v>73</v>
      </c>
      <c r="G17" s="59">
        <v>46135</v>
      </c>
      <c r="H17" s="59">
        <v>45099</v>
      </c>
      <c r="I17" s="11">
        <f t="shared" ca="1" si="0"/>
        <v>50</v>
      </c>
      <c r="J17" s="91">
        <f>EDATE(G17-1,36)</f>
        <v>47230</v>
      </c>
      <c r="K17" s="9">
        <f>EDATE(H17-1,12*5)</f>
        <v>46925</v>
      </c>
    </row>
    <row r="18" spans="1:11" x14ac:dyDescent="0.25">
      <c r="A18" s="6"/>
      <c r="B18" s="6" t="s">
        <v>74</v>
      </c>
      <c r="C18" s="6" t="s">
        <v>75</v>
      </c>
      <c r="D18" s="6" t="s">
        <v>60</v>
      </c>
      <c r="E18" s="4" t="s">
        <v>76</v>
      </c>
      <c r="F18" s="4" t="s">
        <v>77</v>
      </c>
      <c r="G18" s="59">
        <v>45898</v>
      </c>
      <c r="H18" s="59">
        <v>45346</v>
      </c>
      <c r="I18" s="2">
        <f t="shared" ca="1" si="0"/>
        <v>54</v>
      </c>
      <c r="J18" s="61">
        <f t="shared" ref="J18:J23" si="2">EDATE(G18-1,12)</f>
        <v>46262</v>
      </c>
      <c r="K18" s="9">
        <f>EDATE(H18-1,12*5)</f>
        <v>47172</v>
      </c>
    </row>
    <row r="19" spans="1:11" x14ac:dyDescent="0.25">
      <c r="A19" s="6">
        <v>92493036</v>
      </c>
      <c r="B19" s="6" t="s">
        <v>78</v>
      </c>
      <c r="C19" s="6" t="s">
        <v>79</v>
      </c>
      <c r="D19" s="6" t="s">
        <v>60</v>
      </c>
      <c r="E19" s="4" t="s">
        <v>80</v>
      </c>
      <c r="F19" s="4" t="s">
        <v>81</v>
      </c>
      <c r="G19" s="59">
        <v>46113</v>
      </c>
      <c r="H19" s="59">
        <v>46130</v>
      </c>
      <c r="I19" s="11">
        <f t="shared" ca="1" si="0"/>
        <v>54</v>
      </c>
      <c r="J19" s="59">
        <f t="shared" si="2"/>
        <v>46477</v>
      </c>
      <c r="K19" s="9">
        <f>EDATE(H19-1,12*5)</f>
        <v>47955</v>
      </c>
    </row>
    <row r="20" spans="1:11" x14ac:dyDescent="0.25">
      <c r="A20" s="6">
        <v>92303882</v>
      </c>
      <c r="B20" s="6" t="s">
        <v>82</v>
      </c>
      <c r="C20" s="6" t="s">
        <v>83</v>
      </c>
      <c r="D20" s="6" t="s">
        <v>64</v>
      </c>
      <c r="E20" s="12">
        <v>25796</v>
      </c>
      <c r="F20" s="12">
        <v>33123</v>
      </c>
      <c r="G20" s="59">
        <v>46105</v>
      </c>
      <c r="H20" s="59">
        <v>46113</v>
      </c>
      <c r="I20" s="11">
        <f t="shared" ca="1" si="0"/>
        <v>56</v>
      </c>
      <c r="J20" s="59">
        <f t="shared" si="2"/>
        <v>46469</v>
      </c>
      <c r="K20" s="9">
        <f>EDATE(H20-1,12*5)</f>
        <v>47938</v>
      </c>
    </row>
    <row r="21" spans="1:11" x14ac:dyDescent="0.25">
      <c r="A21" s="6">
        <v>92493647</v>
      </c>
      <c r="B21" s="6" t="s">
        <v>84</v>
      </c>
      <c r="C21" s="6" t="s">
        <v>85</v>
      </c>
      <c r="D21" s="6" t="s">
        <v>86</v>
      </c>
      <c r="E21" s="12">
        <v>26723</v>
      </c>
      <c r="F21" s="12">
        <v>35949</v>
      </c>
      <c r="G21" s="59">
        <v>46107</v>
      </c>
      <c r="H21" s="59">
        <v>45064</v>
      </c>
      <c r="I21" s="11">
        <f t="shared" ca="1" si="0"/>
        <v>53</v>
      </c>
      <c r="J21" s="59">
        <f t="shared" si="2"/>
        <v>46471</v>
      </c>
      <c r="K21" s="9">
        <f>EDATE(H21-1,12*5)</f>
        <v>46890</v>
      </c>
    </row>
    <row r="22" spans="1:11" x14ac:dyDescent="0.25">
      <c r="A22" s="6">
        <v>92290329</v>
      </c>
      <c r="B22" s="6" t="s">
        <v>87</v>
      </c>
      <c r="C22" s="6" t="s">
        <v>88</v>
      </c>
      <c r="D22" s="6" t="s">
        <v>86</v>
      </c>
      <c r="E22" s="4" t="s">
        <v>89</v>
      </c>
      <c r="F22" s="4" t="s">
        <v>90</v>
      </c>
      <c r="G22" s="59">
        <v>45887</v>
      </c>
      <c r="H22" s="61">
        <v>45801</v>
      </c>
      <c r="I22" s="2">
        <f t="shared" ca="1" si="0"/>
        <v>58</v>
      </c>
      <c r="J22" s="91">
        <f t="shared" si="2"/>
        <v>46251</v>
      </c>
      <c r="K22" s="10">
        <f>EDATE(H22-1,12*5)</f>
        <v>47626</v>
      </c>
    </row>
    <row r="23" spans="1:11" x14ac:dyDescent="0.25">
      <c r="A23" s="6">
        <v>92493346</v>
      </c>
      <c r="B23" s="6" t="s">
        <v>91</v>
      </c>
      <c r="C23" s="6" t="s">
        <v>92</v>
      </c>
      <c r="D23" s="6" t="s">
        <v>86</v>
      </c>
      <c r="E23" s="4" t="s">
        <v>93</v>
      </c>
      <c r="F23" s="4" t="s">
        <v>94</v>
      </c>
      <c r="G23" s="59">
        <v>46098</v>
      </c>
      <c r="H23" s="59">
        <v>44790</v>
      </c>
      <c r="I23" s="11">
        <f t="shared" ca="1" si="0"/>
        <v>54</v>
      </c>
      <c r="J23" s="59">
        <f t="shared" si="2"/>
        <v>46462</v>
      </c>
      <c r="K23" s="10">
        <f>EDATE(H23-1,12*5)</f>
        <v>46615</v>
      </c>
    </row>
    <row r="24" spans="1:11" x14ac:dyDescent="0.25">
      <c r="A24" s="6">
        <v>92493380</v>
      </c>
      <c r="B24" s="6" t="s">
        <v>95</v>
      </c>
      <c r="C24" s="6" t="s">
        <v>96</v>
      </c>
      <c r="D24" s="6" t="s">
        <v>86</v>
      </c>
      <c r="E24" s="4" t="s">
        <v>97</v>
      </c>
      <c r="F24" s="4" t="s">
        <v>98</v>
      </c>
      <c r="G24" s="59">
        <v>46083</v>
      </c>
      <c r="H24" s="59">
        <v>45843</v>
      </c>
      <c r="I24" s="11">
        <f t="shared" ca="1" si="0"/>
        <v>51</v>
      </c>
      <c r="J24" s="59">
        <f>EDATE(G24-1,36)</f>
        <v>47178</v>
      </c>
      <c r="K24" s="10">
        <f>EDATE(H24-1,12*5)</f>
        <v>47668</v>
      </c>
    </row>
    <row r="25" spans="1:11" x14ac:dyDescent="0.25">
      <c r="A25" s="6">
        <v>92493031</v>
      </c>
      <c r="B25" s="6" t="s">
        <v>99</v>
      </c>
      <c r="C25" s="6" t="s">
        <v>100</v>
      </c>
      <c r="D25" s="6" t="s">
        <v>86</v>
      </c>
      <c r="E25" s="4" t="s">
        <v>101</v>
      </c>
      <c r="F25" s="4" t="s">
        <v>102</v>
      </c>
      <c r="G25" s="59">
        <v>46224</v>
      </c>
      <c r="H25" s="59">
        <v>45145</v>
      </c>
      <c r="I25" s="2">
        <f t="shared" ca="1" si="0"/>
        <v>55</v>
      </c>
      <c r="J25" s="92">
        <f>EDATE(G25-1,12)</f>
        <v>46588</v>
      </c>
      <c r="K25" s="9">
        <f>EDATE(H25-1,12*5)</f>
        <v>46971</v>
      </c>
    </row>
    <row r="26" spans="1:11" x14ac:dyDescent="0.25">
      <c r="A26" s="6">
        <v>92303906</v>
      </c>
      <c r="B26" s="6" t="s">
        <v>103</v>
      </c>
      <c r="C26" s="6" t="s">
        <v>104</v>
      </c>
      <c r="D26" s="6" t="s">
        <v>105</v>
      </c>
      <c r="E26" s="4" t="s">
        <v>106</v>
      </c>
      <c r="F26" s="4" t="s">
        <v>107</v>
      </c>
      <c r="G26" s="59">
        <v>46107</v>
      </c>
      <c r="H26" s="59">
        <v>44979</v>
      </c>
      <c r="I26" s="11">
        <f t="shared" ca="1" si="0"/>
        <v>58</v>
      </c>
      <c r="J26" s="59">
        <f>EDATE(G26-1,12)</f>
        <v>46471</v>
      </c>
      <c r="K26" s="9">
        <f>EDATE(H26-1,12*5)</f>
        <v>46804</v>
      </c>
    </row>
    <row r="27" spans="1:11" x14ac:dyDescent="0.25">
      <c r="A27" s="6">
        <v>92289530</v>
      </c>
      <c r="B27" s="6" t="s">
        <v>108</v>
      </c>
      <c r="C27" s="6" t="s">
        <v>109</v>
      </c>
      <c r="D27" s="6" t="s">
        <v>64</v>
      </c>
      <c r="E27" s="12">
        <v>26065</v>
      </c>
      <c r="F27" s="12">
        <v>34580</v>
      </c>
      <c r="G27" s="59">
        <v>45870</v>
      </c>
      <c r="H27" s="59">
        <v>45575</v>
      </c>
      <c r="I27" s="2">
        <f t="shared" ca="1" si="0"/>
        <v>55</v>
      </c>
      <c r="J27" s="92">
        <f>EDATE(G27-1,12)</f>
        <v>46234</v>
      </c>
      <c r="K27" s="9">
        <f>EDATE(H27-1,12*5)</f>
        <v>47400</v>
      </c>
    </row>
    <row r="28" spans="1:11" x14ac:dyDescent="0.25">
      <c r="A28" s="6">
        <v>24903199</v>
      </c>
      <c r="B28" s="17" t="s">
        <v>110</v>
      </c>
      <c r="C28" s="17" t="s">
        <v>111</v>
      </c>
      <c r="D28" s="6" t="s">
        <v>64</v>
      </c>
      <c r="E28" s="12">
        <v>28976</v>
      </c>
      <c r="F28" s="12">
        <v>38930</v>
      </c>
      <c r="G28" s="59">
        <v>45915</v>
      </c>
      <c r="H28" s="59">
        <v>45351</v>
      </c>
      <c r="I28" s="11">
        <f t="shared" ca="1" si="0"/>
        <v>47</v>
      </c>
      <c r="J28" s="59">
        <f>EDATE(G28-1,36)</f>
        <v>47010</v>
      </c>
      <c r="K28" s="9">
        <f>EDATE(H28-1,12*5)</f>
        <v>47177</v>
      </c>
    </row>
    <row r="29" spans="1:11" x14ac:dyDescent="0.25">
      <c r="A29" s="6">
        <v>92493594</v>
      </c>
      <c r="B29" s="18" t="s">
        <v>112</v>
      </c>
      <c r="C29" s="6" t="s">
        <v>113</v>
      </c>
      <c r="D29" s="6" t="s">
        <v>64</v>
      </c>
      <c r="E29" s="4" t="s">
        <v>114</v>
      </c>
      <c r="F29" s="4" t="s">
        <v>115</v>
      </c>
      <c r="G29" s="59">
        <v>46079</v>
      </c>
      <c r="H29" s="59">
        <v>45768</v>
      </c>
      <c r="I29" s="11">
        <f t="shared" ca="1" si="0"/>
        <v>52</v>
      </c>
      <c r="J29" s="59">
        <f>EDATE(G29-1,12)</f>
        <v>46443</v>
      </c>
      <c r="K29" s="9">
        <f>EDATE(H29-1,12*5)</f>
        <v>47593</v>
      </c>
    </row>
    <row r="30" spans="1:11" x14ac:dyDescent="0.25">
      <c r="A30" s="6">
        <v>92493662</v>
      </c>
      <c r="B30" s="6" t="s">
        <v>116</v>
      </c>
      <c r="C30" s="6" t="s">
        <v>117</v>
      </c>
      <c r="D30" s="6" t="s">
        <v>118</v>
      </c>
      <c r="E30" s="4" t="s">
        <v>119</v>
      </c>
      <c r="F30" s="4" t="s">
        <v>120</v>
      </c>
      <c r="G30" s="59">
        <v>46030</v>
      </c>
      <c r="H30" s="59">
        <v>45418</v>
      </c>
      <c r="I30" s="11">
        <f t="shared" ca="1" si="0"/>
        <v>52</v>
      </c>
      <c r="J30" s="72">
        <f>EDATE(G30-1,36)</f>
        <v>47125</v>
      </c>
      <c r="K30" s="9">
        <f>EDATE(H30-1,12*5)</f>
        <v>47243</v>
      </c>
    </row>
    <row r="31" spans="1:11" x14ac:dyDescent="0.25">
      <c r="A31" s="6">
        <v>92492618</v>
      </c>
      <c r="B31" s="6" t="s">
        <v>121</v>
      </c>
      <c r="C31" s="6" t="s">
        <v>122</v>
      </c>
      <c r="D31" s="6" t="s">
        <v>35</v>
      </c>
      <c r="E31" s="12">
        <v>25879</v>
      </c>
      <c r="F31" s="12">
        <v>33247</v>
      </c>
      <c r="G31" s="59">
        <v>46071</v>
      </c>
      <c r="H31" s="59">
        <v>45044</v>
      </c>
      <c r="I31" s="11">
        <f t="shared" ca="1" si="0"/>
        <v>55</v>
      </c>
      <c r="J31" s="59">
        <f>EDATE(G31-1,12)</f>
        <v>46435</v>
      </c>
      <c r="K31" s="9">
        <f>EDATE(H31-1,12*5)</f>
        <v>46870</v>
      </c>
    </row>
    <row r="32" spans="1:11" x14ac:dyDescent="0.25">
      <c r="A32" s="6">
        <v>92292565</v>
      </c>
      <c r="B32" s="17" t="s">
        <v>123</v>
      </c>
      <c r="C32" s="17" t="s">
        <v>67</v>
      </c>
      <c r="D32" s="6" t="s">
        <v>124</v>
      </c>
      <c r="E32" s="4" t="s">
        <v>125</v>
      </c>
      <c r="F32" s="12">
        <v>33546</v>
      </c>
      <c r="G32" s="59">
        <v>45678</v>
      </c>
      <c r="H32" s="59">
        <v>45044</v>
      </c>
      <c r="I32" s="11">
        <f t="shared" ca="1" si="0"/>
        <v>58</v>
      </c>
      <c r="J32" s="59">
        <f>EDATE(G32-1,12)</f>
        <v>46042</v>
      </c>
      <c r="K32" s="9">
        <f>EDATE(H32-1,12*5)</f>
        <v>46870</v>
      </c>
    </row>
    <row r="33" spans="1:11" x14ac:dyDescent="0.25">
      <c r="A33" s="6">
        <v>92499678</v>
      </c>
      <c r="B33" s="6" t="s">
        <v>126</v>
      </c>
      <c r="C33" s="6" t="s">
        <v>127</v>
      </c>
      <c r="D33" s="6" t="s">
        <v>64</v>
      </c>
      <c r="E33" s="4" t="s">
        <v>128</v>
      </c>
      <c r="F33" s="12">
        <v>37923</v>
      </c>
      <c r="G33" s="59">
        <v>46153</v>
      </c>
      <c r="H33" s="59">
        <v>44984</v>
      </c>
      <c r="I33" s="11">
        <f t="shared" ca="1" si="0"/>
        <v>50</v>
      </c>
      <c r="J33" s="59">
        <f>EDATE(G33-1,36)</f>
        <v>47248</v>
      </c>
      <c r="K33" s="9">
        <f>EDATE(H33-1,12*5)</f>
        <v>46809</v>
      </c>
    </row>
    <row r="34" spans="1:11" x14ac:dyDescent="0.25">
      <c r="A34" s="6">
        <v>92492984</v>
      </c>
      <c r="B34" s="6" t="s">
        <v>129</v>
      </c>
      <c r="C34" s="6" t="s">
        <v>130</v>
      </c>
      <c r="D34" s="6" t="s">
        <v>86</v>
      </c>
      <c r="E34" s="4" t="s">
        <v>131</v>
      </c>
      <c r="F34" s="4" t="s">
        <v>132</v>
      </c>
      <c r="G34" s="59">
        <v>45910</v>
      </c>
      <c r="H34" s="59">
        <v>45733</v>
      </c>
      <c r="I34" s="11">
        <f t="shared" ca="1" si="0"/>
        <v>60</v>
      </c>
      <c r="J34" s="92">
        <f>EDATE(G34-1,12)</f>
        <v>46274</v>
      </c>
      <c r="K34" s="9">
        <f>EDATE(H34-1,12*5)</f>
        <v>47558</v>
      </c>
    </row>
    <row r="35" spans="1:11" x14ac:dyDescent="0.25">
      <c r="A35" s="6">
        <v>92390569</v>
      </c>
      <c r="B35" s="6" t="s">
        <v>133</v>
      </c>
      <c r="C35" s="6" t="s">
        <v>85</v>
      </c>
      <c r="D35" s="6" t="s">
        <v>86</v>
      </c>
      <c r="E35" s="4" t="s">
        <v>134</v>
      </c>
      <c r="F35" s="4" t="s">
        <v>135</v>
      </c>
      <c r="G35" s="59">
        <v>46101</v>
      </c>
      <c r="H35" s="59">
        <v>45969</v>
      </c>
      <c r="I35" s="11">
        <f t="shared" ca="1" si="0"/>
        <v>55</v>
      </c>
      <c r="J35" s="59">
        <f>EDATE(G35-1,12)</f>
        <v>46465</v>
      </c>
      <c r="K35" s="9">
        <f>EDATE(H35-1,12*5)</f>
        <v>47794</v>
      </c>
    </row>
    <row r="36" spans="1:11" x14ac:dyDescent="0.25">
      <c r="A36" s="6">
        <v>92304118</v>
      </c>
      <c r="B36" s="6" t="s">
        <v>136</v>
      </c>
      <c r="C36" s="6" t="s">
        <v>137</v>
      </c>
      <c r="D36" s="6" t="s">
        <v>86</v>
      </c>
      <c r="E36" s="12">
        <v>24920</v>
      </c>
      <c r="F36" s="4" t="s">
        <v>138</v>
      </c>
      <c r="G36" s="61">
        <v>46163</v>
      </c>
      <c r="H36" s="59">
        <v>46097</v>
      </c>
      <c r="I36" s="11">
        <f t="shared" ca="1" si="0"/>
        <v>58</v>
      </c>
      <c r="J36" s="72">
        <f>EDATE(G36-1,12)</f>
        <v>46527</v>
      </c>
      <c r="K36" s="9">
        <f>EDATE(H36-1,12*5)</f>
        <v>47922</v>
      </c>
    </row>
    <row r="37" spans="1:11" x14ac:dyDescent="0.25">
      <c r="A37" s="6">
        <v>24900935</v>
      </c>
      <c r="B37" s="6" t="s">
        <v>139</v>
      </c>
      <c r="C37" s="6" t="s">
        <v>140</v>
      </c>
      <c r="D37" s="6" t="s">
        <v>86</v>
      </c>
      <c r="E37" s="4" t="s">
        <v>141</v>
      </c>
      <c r="F37" s="4" t="s">
        <v>142</v>
      </c>
      <c r="G37" s="59">
        <v>45782</v>
      </c>
      <c r="H37" s="59">
        <v>45348</v>
      </c>
      <c r="I37" s="11">
        <f t="shared" ca="1" si="0"/>
        <v>42</v>
      </c>
      <c r="J37" s="91">
        <f>EDATE(G37-1,60)</f>
        <v>47607</v>
      </c>
      <c r="K37" s="9">
        <f>EDATE(H37-1,12*5)</f>
        <v>47174</v>
      </c>
    </row>
    <row r="38" spans="1:11" x14ac:dyDescent="0.25">
      <c r="A38" s="6">
        <v>92492743</v>
      </c>
      <c r="B38" s="6" t="s">
        <v>143</v>
      </c>
      <c r="C38" s="6" t="s">
        <v>144</v>
      </c>
      <c r="D38" s="6" t="s">
        <v>86</v>
      </c>
      <c r="E38" s="12" t="s">
        <v>145</v>
      </c>
      <c r="F38" s="4" t="s">
        <v>146</v>
      </c>
      <c r="G38" s="19">
        <v>46122</v>
      </c>
      <c r="H38" s="59">
        <v>45749</v>
      </c>
      <c r="I38" s="11">
        <f t="shared" ca="1" si="0"/>
        <v>57</v>
      </c>
      <c r="J38" s="92">
        <f>EDATE(G38-1,12)</f>
        <v>46486</v>
      </c>
      <c r="K38" s="9">
        <f>EDATE(H38-1,12*5)</f>
        <v>47574</v>
      </c>
    </row>
    <row r="39" spans="1:11" x14ac:dyDescent="0.25">
      <c r="A39" s="6">
        <v>92290241</v>
      </c>
      <c r="B39" s="20" t="s">
        <v>147</v>
      </c>
      <c r="C39" s="6" t="s">
        <v>148</v>
      </c>
      <c r="D39" s="6" t="s">
        <v>13</v>
      </c>
      <c r="E39" s="12">
        <v>27942</v>
      </c>
      <c r="F39" s="12">
        <v>35480</v>
      </c>
      <c r="G39" s="59">
        <v>45741</v>
      </c>
      <c r="H39" s="59">
        <v>45740</v>
      </c>
      <c r="I39" s="11">
        <f t="shared" ca="1" si="0"/>
        <v>50</v>
      </c>
      <c r="J39" s="59">
        <f>EDATE(G39-1,36)</f>
        <v>46836</v>
      </c>
      <c r="K39" s="9">
        <f>EDATE(H39-1,12*5)</f>
        <v>47565</v>
      </c>
    </row>
    <row r="40" spans="1:11" x14ac:dyDescent="0.25">
      <c r="A40" s="6">
        <v>92492458</v>
      </c>
      <c r="B40" s="6" t="s">
        <v>149</v>
      </c>
      <c r="C40" s="6" t="s">
        <v>150</v>
      </c>
      <c r="D40" s="6" t="s">
        <v>60</v>
      </c>
      <c r="E40" s="4" t="s">
        <v>151</v>
      </c>
      <c r="F40" s="4" t="s">
        <v>152</v>
      </c>
      <c r="G40" s="61">
        <v>46099</v>
      </c>
      <c r="H40" s="79">
        <v>45846</v>
      </c>
      <c r="I40" s="11">
        <f t="shared" ca="1" si="0"/>
        <v>58</v>
      </c>
      <c r="J40" s="92">
        <f>EDATE(G40-1,12)</f>
        <v>46463</v>
      </c>
      <c r="K40" s="10">
        <f>EDATE(H40-1,12*5)</f>
        <v>47671</v>
      </c>
    </row>
    <row r="41" spans="1:11" x14ac:dyDescent="0.25">
      <c r="A41" s="6">
        <v>92493001</v>
      </c>
      <c r="B41" s="6" t="s">
        <v>153</v>
      </c>
      <c r="C41" s="6" t="s">
        <v>154</v>
      </c>
      <c r="D41" s="6" t="s">
        <v>60</v>
      </c>
      <c r="E41" s="4" t="s">
        <v>155</v>
      </c>
      <c r="F41" s="4" t="s">
        <v>156</v>
      </c>
      <c r="G41" s="59">
        <v>46083</v>
      </c>
      <c r="H41" s="59">
        <v>45806</v>
      </c>
      <c r="I41" s="11">
        <f t="shared" ca="1" si="0"/>
        <v>59</v>
      </c>
      <c r="J41" s="59">
        <f>EDATE(G41-1,12)</f>
        <v>46447</v>
      </c>
      <c r="K41" s="9">
        <f>EDATE(H41-1,12*5)</f>
        <v>47631</v>
      </c>
    </row>
    <row r="42" spans="1:11" x14ac:dyDescent="0.25">
      <c r="A42" s="6">
        <v>92390628</v>
      </c>
      <c r="B42" s="6" t="s">
        <v>157</v>
      </c>
      <c r="C42" s="6" t="s">
        <v>158</v>
      </c>
      <c r="D42" s="6" t="s">
        <v>35</v>
      </c>
      <c r="E42" s="12">
        <v>26781</v>
      </c>
      <c r="F42" s="12">
        <v>34731</v>
      </c>
      <c r="G42" s="59">
        <v>46063</v>
      </c>
      <c r="H42" s="59">
        <v>44275</v>
      </c>
      <c r="I42" s="11">
        <f t="shared" ca="1" si="0"/>
        <v>53</v>
      </c>
      <c r="J42" s="72">
        <f>EDATE(G42-1,12)</f>
        <v>46427</v>
      </c>
      <c r="K42" s="9">
        <f>EDATE(H42-1,12*5)</f>
        <v>46100</v>
      </c>
    </row>
    <row r="43" spans="1:11" x14ac:dyDescent="0.25">
      <c r="A43" s="6">
        <v>92493080</v>
      </c>
      <c r="B43" s="6" t="s">
        <v>159</v>
      </c>
      <c r="C43" s="6" t="s">
        <v>160</v>
      </c>
      <c r="D43" s="6" t="s">
        <v>60</v>
      </c>
      <c r="E43" s="4" t="s">
        <v>161</v>
      </c>
      <c r="F43" s="4" t="s">
        <v>162</v>
      </c>
      <c r="G43" s="61">
        <v>46147</v>
      </c>
      <c r="H43" s="59">
        <v>44622</v>
      </c>
      <c r="I43" s="11">
        <f t="shared" ca="1" si="0"/>
        <v>50</v>
      </c>
      <c r="J43" s="92">
        <f>EDATE(G43-1,36)</f>
        <v>47242</v>
      </c>
      <c r="K43" s="9">
        <f>EDATE(H43-1,12*5)</f>
        <v>46447</v>
      </c>
    </row>
    <row r="44" spans="1:11" x14ac:dyDescent="0.25">
      <c r="A44" s="6">
        <v>92592633</v>
      </c>
      <c r="B44" s="6" t="s">
        <v>163</v>
      </c>
      <c r="C44" s="6" t="s">
        <v>164</v>
      </c>
      <c r="D44" s="6" t="s">
        <v>60</v>
      </c>
      <c r="E44" s="4" t="s">
        <v>165</v>
      </c>
      <c r="F44" s="4" t="s">
        <v>166</v>
      </c>
      <c r="G44" s="59">
        <v>46120</v>
      </c>
      <c r="H44" s="59">
        <v>46094</v>
      </c>
      <c r="I44" s="11">
        <f t="shared" ca="1" si="0"/>
        <v>54</v>
      </c>
      <c r="J44" s="92">
        <f>EDATE(G44-1,12)</f>
        <v>46484</v>
      </c>
      <c r="K44" s="9">
        <f>EDATE(H44-1,12*5)</f>
        <v>47919</v>
      </c>
    </row>
    <row r="45" spans="1:11" x14ac:dyDescent="0.25">
      <c r="A45" s="6">
        <v>92493614</v>
      </c>
      <c r="B45" s="6" t="s">
        <v>167</v>
      </c>
      <c r="C45" s="6" t="s">
        <v>168</v>
      </c>
      <c r="D45" s="6" t="s">
        <v>60</v>
      </c>
      <c r="E45" s="4" t="s">
        <v>169</v>
      </c>
      <c r="F45" s="4" t="s">
        <v>170</v>
      </c>
      <c r="G45" s="59">
        <v>46160</v>
      </c>
      <c r="H45" s="59">
        <v>45873</v>
      </c>
      <c r="I45" s="11">
        <f t="shared" ca="1" si="0"/>
        <v>53</v>
      </c>
      <c r="J45" s="72">
        <f>EDATE(G45-1,12)</f>
        <v>46524</v>
      </c>
      <c r="K45" s="10">
        <f>EDATE(H45-1,12*5)</f>
        <v>47698</v>
      </c>
    </row>
    <row r="46" spans="1:11" x14ac:dyDescent="0.25">
      <c r="A46" s="6">
        <v>92493091</v>
      </c>
      <c r="B46" s="15" t="s">
        <v>171</v>
      </c>
      <c r="C46" s="6" t="s">
        <v>172</v>
      </c>
      <c r="D46" s="6" t="s">
        <v>60</v>
      </c>
      <c r="E46" s="4" t="s">
        <v>173</v>
      </c>
      <c r="F46" s="4" t="s">
        <v>174</v>
      </c>
      <c r="G46" s="59">
        <v>45925</v>
      </c>
      <c r="H46" s="59">
        <v>44959</v>
      </c>
      <c r="I46" s="11">
        <f ca="1">DATEDIF(E46,TODAY(),"y")</f>
        <v>56</v>
      </c>
      <c r="J46" s="91">
        <f>EDATE(G46-1,12)</f>
        <v>46289</v>
      </c>
      <c r="K46" s="9">
        <f>EDATE(H46-1,12*5)</f>
        <v>46784</v>
      </c>
    </row>
    <row r="47" spans="1:11" x14ac:dyDescent="0.25">
      <c r="A47" s="6">
        <v>92493099</v>
      </c>
      <c r="B47" s="6" t="s">
        <v>175</v>
      </c>
      <c r="C47" s="6" t="s">
        <v>176</v>
      </c>
      <c r="D47" s="6" t="s">
        <v>60</v>
      </c>
      <c r="E47" s="4" t="s">
        <v>177</v>
      </c>
      <c r="F47" s="4" t="s">
        <v>178</v>
      </c>
      <c r="G47" s="59">
        <v>46098</v>
      </c>
      <c r="H47" s="59">
        <v>45135</v>
      </c>
      <c r="I47" s="11">
        <f ca="1">DATEDIF(E47,TODAY(),"y")</f>
        <v>57</v>
      </c>
      <c r="J47" s="72">
        <f>EDATE(G47-1,12)</f>
        <v>46462</v>
      </c>
      <c r="K47" s="9">
        <f>EDATE(H47-1,12*5)</f>
        <v>46961</v>
      </c>
    </row>
    <row r="48" spans="1:11" x14ac:dyDescent="0.25">
      <c r="A48" s="6">
        <v>92290456</v>
      </c>
      <c r="B48" s="6" t="s">
        <v>179</v>
      </c>
      <c r="C48" s="6" t="s">
        <v>85</v>
      </c>
      <c r="D48" s="6" t="s">
        <v>60</v>
      </c>
      <c r="E48" s="12">
        <v>25004</v>
      </c>
      <c r="F48" s="12">
        <v>33430</v>
      </c>
      <c r="G48" s="59">
        <v>45713</v>
      </c>
      <c r="H48" s="59">
        <v>45063</v>
      </c>
      <c r="I48" s="11">
        <f ca="1">DATEDIF(E48,TODAY(),"y")</f>
        <v>58</v>
      </c>
      <c r="J48" s="59">
        <f>EDATE(G48-1,12)</f>
        <v>46077</v>
      </c>
      <c r="K48" s="9">
        <f>EDATE(H48-1,12*5)</f>
        <v>46889</v>
      </c>
    </row>
    <row r="49" spans="1:11" x14ac:dyDescent="0.25">
      <c r="A49" s="15">
        <v>24903096</v>
      </c>
      <c r="B49" s="15" t="s">
        <v>180</v>
      </c>
      <c r="C49" s="15" t="s">
        <v>181</v>
      </c>
      <c r="D49" s="6" t="s">
        <v>64</v>
      </c>
      <c r="E49" s="13" t="s">
        <v>182</v>
      </c>
      <c r="F49" s="16" t="s">
        <v>183</v>
      </c>
      <c r="G49" s="59">
        <v>45694</v>
      </c>
      <c r="H49" s="59">
        <v>44671</v>
      </c>
      <c r="I49" s="11">
        <f t="shared" ref="I49:I112" ca="1" si="3">DATEDIF(E49,TODAY(),"y")</f>
        <v>41</v>
      </c>
      <c r="J49" s="59">
        <f>EDATE(G49-1,60)</f>
        <v>47519</v>
      </c>
      <c r="K49" s="9">
        <f>EDATE(H49-1,12*5)</f>
        <v>46496</v>
      </c>
    </row>
    <row r="50" spans="1:11" x14ac:dyDescent="0.25">
      <c r="A50" s="6">
        <v>24900544</v>
      </c>
      <c r="B50" s="6" t="s">
        <v>184</v>
      </c>
      <c r="C50" s="6" t="s">
        <v>185</v>
      </c>
      <c r="D50" s="6" t="s">
        <v>60</v>
      </c>
      <c r="E50" s="12">
        <v>28216</v>
      </c>
      <c r="F50" s="12">
        <v>37536</v>
      </c>
      <c r="G50" s="59">
        <v>45734</v>
      </c>
      <c r="H50" s="59">
        <v>45777</v>
      </c>
      <c r="I50" s="11">
        <f t="shared" ca="1" si="3"/>
        <v>49</v>
      </c>
      <c r="J50" s="59">
        <f>EDATE(G50-1,36)</f>
        <v>46829</v>
      </c>
      <c r="K50" s="9">
        <f>EDATE(H50-1,12*5)</f>
        <v>47602</v>
      </c>
    </row>
    <row r="51" spans="1:11" x14ac:dyDescent="0.25">
      <c r="A51" s="6">
        <v>92291235</v>
      </c>
      <c r="B51" s="6" t="s">
        <v>186</v>
      </c>
      <c r="C51" s="6" t="s">
        <v>187</v>
      </c>
      <c r="D51" s="6" t="s">
        <v>105</v>
      </c>
      <c r="E51" s="4" t="s">
        <v>188</v>
      </c>
      <c r="F51" s="4" t="s">
        <v>189</v>
      </c>
      <c r="G51" s="59">
        <v>46030</v>
      </c>
      <c r="H51" s="59">
        <v>44491</v>
      </c>
      <c r="I51" s="11">
        <f t="shared" ca="1" si="3"/>
        <v>52</v>
      </c>
      <c r="J51" s="72">
        <f>EDATE(G51-1,12)</f>
        <v>46394</v>
      </c>
      <c r="K51" s="9">
        <f>EDATE(H51-1,12*5)</f>
        <v>46316</v>
      </c>
    </row>
    <row r="52" spans="1:11" x14ac:dyDescent="0.25">
      <c r="A52" s="6">
        <v>24912171</v>
      </c>
      <c r="B52" s="17" t="s">
        <v>190</v>
      </c>
      <c r="C52" s="17" t="s">
        <v>191</v>
      </c>
      <c r="D52" s="6" t="s">
        <v>64</v>
      </c>
      <c r="E52" s="12">
        <v>31248</v>
      </c>
      <c r="F52" s="12">
        <v>42221</v>
      </c>
      <c r="G52" s="59">
        <v>44971</v>
      </c>
      <c r="H52" s="59">
        <v>45762</v>
      </c>
      <c r="I52" s="11">
        <f t="shared" ca="1" si="3"/>
        <v>41</v>
      </c>
      <c r="J52" s="59">
        <f>EDATE(G52-1,60)</f>
        <v>46796</v>
      </c>
      <c r="K52" s="9">
        <f>EDATE(H52-1,12*5)</f>
        <v>47587</v>
      </c>
    </row>
    <row r="53" spans="1:11" x14ac:dyDescent="0.25">
      <c r="A53" s="6">
        <v>92291184</v>
      </c>
      <c r="B53" s="6" t="s">
        <v>192</v>
      </c>
      <c r="C53" s="6" t="s">
        <v>193</v>
      </c>
      <c r="D53" s="6" t="s">
        <v>105</v>
      </c>
      <c r="E53" s="4" t="s">
        <v>194</v>
      </c>
      <c r="F53" s="4" t="s">
        <v>195</v>
      </c>
      <c r="G53" s="59">
        <v>46178</v>
      </c>
      <c r="H53" s="59">
        <v>45542</v>
      </c>
      <c r="I53" s="11">
        <f t="shared" ca="1" si="3"/>
        <v>54</v>
      </c>
      <c r="J53" s="61">
        <f t="shared" ref="J53:J59" si="4">EDATE(G53-1,12)</f>
        <v>46542</v>
      </c>
      <c r="K53" s="9">
        <f>EDATE(H53-1,12*5)</f>
        <v>47367</v>
      </c>
    </row>
    <row r="54" spans="1:11" x14ac:dyDescent="0.25">
      <c r="A54" s="6">
        <v>92493107</v>
      </c>
      <c r="B54" s="6" t="s">
        <v>196</v>
      </c>
      <c r="C54" s="6" t="s">
        <v>197</v>
      </c>
      <c r="D54" s="6" t="s">
        <v>105</v>
      </c>
      <c r="E54" s="4" t="s">
        <v>198</v>
      </c>
      <c r="F54" s="4" t="s">
        <v>199</v>
      </c>
      <c r="G54" s="59">
        <v>46155</v>
      </c>
      <c r="H54" s="59">
        <v>45111</v>
      </c>
      <c r="I54" s="11">
        <f t="shared" ca="1" si="3"/>
        <v>53</v>
      </c>
      <c r="J54" s="92">
        <f t="shared" si="4"/>
        <v>46519</v>
      </c>
      <c r="K54" s="9">
        <f>EDATE(H54-1,12*5)</f>
        <v>46937</v>
      </c>
    </row>
    <row r="55" spans="1:11" x14ac:dyDescent="0.25">
      <c r="A55" s="6">
        <v>92493343</v>
      </c>
      <c r="B55" s="6" t="s">
        <v>200</v>
      </c>
      <c r="C55" s="6" t="s">
        <v>201</v>
      </c>
      <c r="D55" s="6" t="s">
        <v>60</v>
      </c>
      <c r="E55" s="12">
        <v>24341</v>
      </c>
      <c r="F55" s="12">
        <v>33928</v>
      </c>
      <c r="G55" s="59">
        <v>46105</v>
      </c>
      <c r="H55" s="61">
        <v>46164</v>
      </c>
      <c r="I55" s="11">
        <f t="shared" ca="1" si="3"/>
        <v>59</v>
      </c>
      <c r="J55" s="59">
        <f t="shared" si="4"/>
        <v>46469</v>
      </c>
      <c r="K55" s="9">
        <f>EDATE(H55-1,12*5)</f>
        <v>47989</v>
      </c>
    </row>
    <row r="56" spans="1:11" x14ac:dyDescent="0.25">
      <c r="A56" s="6">
        <v>92290264</v>
      </c>
      <c r="B56" s="6" t="s">
        <v>202</v>
      </c>
      <c r="C56" s="6" t="s">
        <v>203</v>
      </c>
      <c r="D56" s="6" t="s">
        <v>13</v>
      </c>
      <c r="E56" s="12">
        <v>26116</v>
      </c>
      <c r="F56" s="12">
        <v>35812</v>
      </c>
      <c r="G56" s="59">
        <v>46168</v>
      </c>
      <c r="H56" s="59">
        <v>45450</v>
      </c>
      <c r="I56" s="11">
        <f t="shared" ca="1" si="3"/>
        <v>55</v>
      </c>
      <c r="J56" s="91">
        <f t="shared" si="4"/>
        <v>46532</v>
      </c>
      <c r="K56" s="9">
        <f>EDATE(H56-1,12*5)</f>
        <v>47275</v>
      </c>
    </row>
    <row r="57" spans="1:11" x14ac:dyDescent="0.25">
      <c r="A57" s="6">
        <v>92292616</v>
      </c>
      <c r="B57" s="6" t="s">
        <v>204</v>
      </c>
      <c r="C57" s="6" t="s">
        <v>205</v>
      </c>
      <c r="D57" s="6" t="s">
        <v>60</v>
      </c>
      <c r="E57" s="12">
        <v>26196</v>
      </c>
      <c r="F57" s="12">
        <v>33903</v>
      </c>
      <c r="G57" s="59">
        <v>45902</v>
      </c>
      <c r="H57" s="59">
        <v>45328</v>
      </c>
      <c r="I57" s="11">
        <f t="shared" ca="1" si="3"/>
        <v>54</v>
      </c>
      <c r="J57" s="91">
        <f t="shared" si="4"/>
        <v>46266</v>
      </c>
      <c r="K57" s="9">
        <f>EDATE(H57-1,12*5)</f>
        <v>47154</v>
      </c>
    </row>
    <row r="58" spans="1:11" x14ac:dyDescent="0.25">
      <c r="A58" s="6">
        <v>92493042</v>
      </c>
      <c r="B58" s="6" t="s">
        <v>206</v>
      </c>
      <c r="C58" s="6" t="s">
        <v>207</v>
      </c>
      <c r="D58" s="6" t="s">
        <v>35</v>
      </c>
      <c r="E58" s="4" t="s">
        <v>208</v>
      </c>
      <c r="F58" s="4" t="s">
        <v>209</v>
      </c>
      <c r="G58" s="59">
        <v>45889</v>
      </c>
      <c r="H58" s="59">
        <v>45436</v>
      </c>
      <c r="I58" s="2">
        <f t="shared" ca="1" si="3"/>
        <v>56</v>
      </c>
      <c r="J58" s="72">
        <f t="shared" si="4"/>
        <v>46253</v>
      </c>
      <c r="K58" s="9">
        <f>EDATE(H58-1,12*5)</f>
        <v>47261</v>
      </c>
    </row>
    <row r="59" spans="1:11" x14ac:dyDescent="0.25">
      <c r="A59" s="6">
        <v>92493004</v>
      </c>
      <c r="B59" s="6" t="s">
        <v>210</v>
      </c>
      <c r="C59" s="6" t="s">
        <v>211</v>
      </c>
      <c r="D59" s="6" t="s">
        <v>60</v>
      </c>
      <c r="E59" s="12">
        <v>26299</v>
      </c>
      <c r="F59" s="12">
        <v>33875</v>
      </c>
      <c r="G59" s="59">
        <v>46106</v>
      </c>
      <c r="H59" s="59">
        <v>45868</v>
      </c>
      <c r="I59" s="11">
        <f t="shared" ca="1" si="3"/>
        <v>54</v>
      </c>
      <c r="J59" s="72">
        <f t="shared" si="4"/>
        <v>46470</v>
      </c>
      <c r="K59" s="10">
        <f>EDATE(H59-1,12*5)</f>
        <v>47693</v>
      </c>
    </row>
    <row r="60" spans="1:11" x14ac:dyDescent="0.25">
      <c r="A60" s="6">
        <v>24911500</v>
      </c>
      <c r="B60" s="17" t="s">
        <v>212</v>
      </c>
      <c r="C60" s="17" t="s">
        <v>213</v>
      </c>
      <c r="D60" s="6" t="s">
        <v>64</v>
      </c>
      <c r="E60" s="12">
        <v>30713</v>
      </c>
      <c r="F60" s="12">
        <v>41922</v>
      </c>
      <c r="G60" s="59">
        <v>45875</v>
      </c>
      <c r="H60" s="59">
        <v>44705</v>
      </c>
      <c r="I60" s="11">
        <f t="shared" ca="1" si="3"/>
        <v>42</v>
      </c>
      <c r="J60" s="59">
        <f>EDATE(G60-1,60)</f>
        <v>47700</v>
      </c>
      <c r="K60" s="9">
        <f>EDATE(H60-1,12*5)</f>
        <v>46530</v>
      </c>
    </row>
    <row r="61" spans="1:11" x14ac:dyDescent="0.25">
      <c r="A61" s="6">
        <v>24910006</v>
      </c>
      <c r="B61" s="17" t="s">
        <v>214</v>
      </c>
      <c r="C61" s="17" t="s">
        <v>215</v>
      </c>
      <c r="D61" s="6" t="s">
        <v>64</v>
      </c>
      <c r="E61" s="12">
        <v>30502</v>
      </c>
      <c r="F61" s="12">
        <v>41365</v>
      </c>
      <c r="G61" s="59">
        <v>45168</v>
      </c>
      <c r="H61" s="59">
        <v>45127</v>
      </c>
      <c r="I61" s="11">
        <f t="shared" ca="1" si="3"/>
        <v>43</v>
      </c>
      <c r="J61" s="59">
        <f>EDATE(G61-1,60)</f>
        <v>46994</v>
      </c>
      <c r="K61" s="9">
        <f>EDATE(H61-1,12*5)</f>
        <v>46953</v>
      </c>
    </row>
    <row r="62" spans="1:11" x14ac:dyDescent="0.25">
      <c r="A62" s="6">
        <v>24916873</v>
      </c>
      <c r="B62" s="17" t="s">
        <v>216</v>
      </c>
      <c r="C62" s="17" t="s">
        <v>217</v>
      </c>
      <c r="D62" s="6" t="s">
        <v>64</v>
      </c>
      <c r="E62" s="12">
        <v>31973</v>
      </c>
      <c r="F62" s="12">
        <v>43685</v>
      </c>
      <c r="G62" s="59">
        <v>45441</v>
      </c>
      <c r="H62" s="59">
        <v>45150</v>
      </c>
      <c r="I62" s="11">
        <f t="shared" ca="1" si="3"/>
        <v>39</v>
      </c>
      <c r="J62" s="59">
        <f>EDATE(G62-1,60)</f>
        <v>47266</v>
      </c>
      <c r="K62" s="10">
        <f>EDATE(H62-1,12*5)</f>
        <v>46976</v>
      </c>
    </row>
    <row r="63" spans="1:11" x14ac:dyDescent="0.25">
      <c r="A63" s="6">
        <v>24909334</v>
      </c>
      <c r="B63" s="6" t="s">
        <v>218</v>
      </c>
      <c r="C63" s="6" t="s">
        <v>219</v>
      </c>
      <c r="D63" s="6" t="s">
        <v>35</v>
      </c>
      <c r="E63" s="12">
        <v>30087</v>
      </c>
      <c r="F63" s="12">
        <v>41099</v>
      </c>
      <c r="G63" s="59">
        <v>45427</v>
      </c>
      <c r="H63" s="59">
        <v>46074</v>
      </c>
      <c r="I63" s="11">
        <f t="shared" ca="1" si="3"/>
        <v>44</v>
      </c>
      <c r="J63" s="59">
        <f>EDATE(G63-1,60)</f>
        <v>47252</v>
      </c>
      <c r="K63" s="9">
        <f>EDATE(H63-1,12*5)</f>
        <v>47899</v>
      </c>
    </row>
    <row r="64" spans="1:11" x14ac:dyDescent="0.25">
      <c r="A64" s="6">
        <v>24911501</v>
      </c>
      <c r="B64" s="6" t="s">
        <v>220</v>
      </c>
      <c r="C64" s="6" t="s">
        <v>221</v>
      </c>
      <c r="D64" s="6" t="s">
        <v>35</v>
      </c>
      <c r="E64" s="12">
        <v>31157</v>
      </c>
      <c r="F64" s="12">
        <v>41928</v>
      </c>
      <c r="G64" s="59">
        <v>44999</v>
      </c>
      <c r="H64" s="59">
        <v>46197</v>
      </c>
      <c r="I64" s="11">
        <f t="shared" ca="1" si="3"/>
        <v>41</v>
      </c>
      <c r="J64" s="59">
        <f>EDATE(G64-1,60)</f>
        <v>46825</v>
      </c>
      <c r="K64" s="9">
        <f>EDATE(H64-1,12*5)</f>
        <v>48022</v>
      </c>
    </row>
    <row r="65" spans="1:11" x14ac:dyDescent="0.25">
      <c r="A65" s="6">
        <v>24900405</v>
      </c>
      <c r="B65" s="6" t="s">
        <v>222</v>
      </c>
      <c r="C65" s="6" t="s">
        <v>67</v>
      </c>
      <c r="D65" s="6" t="s">
        <v>35</v>
      </c>
      <c r="E65" s="12">
        <v>25045</v>
      </c>
      <c r="F65" s="12">
        <v>37330</v>
      </c>
      <c r="G65" s="59">
        <v>46079</v>
      </c>
      <c r="H65" s="59">
        <v>45148</v>
      </c>
      <c r="I65" s="11">
        <f t="shared" ca="1" si="3"/>
        <v>58</v>
      </c>
      <c r="J65" s="59">
        <f>EDATE(G65-1,12)</f>
        <v>46443</v>
      </c>
      <c r="K65" s="9">
        <f>EDATE(H65-1,12*5)</f>
        <v>46974</v>
      </c>
    </row>
    <row r="66" spans="1:11" x14ac:dyDescent="0.25">
      <c r="A66" s="6">
        <v>92493078</v>
      </c>
      <c r="B66" s="6" t="s">
        <v>223</v>
      </c>
      <c r="C66" s="6" t="s">
        <v>224</v>
      </c>
      <c r="D66" s="6" t="s">
        <v>86</v>
      </c>
      <c r="E66" s="4" t="s">
        <v>225</v>
      </c>
      <c r="F66" s="4" t="s">
        <v>226</v>
      </c>
      <c r="G66" s="59">
        <v>45901</v>
      </c>
      <c r="H66" s="59">
        <v>45453</v>
      </c>
      <c r="I66" s="2">
        <f t="shared" ca="1" si="3"/>
        <v>53</v>
      </c>
      <c r="J66" s="91">
        <f>EDATE(G66-1,12)</f>
        <v>46265</v>
      </c>
      <c r="K66" s="9">
        <f>EDATE(H66-1,12*5)</f>
        <v>47278</v>
      </c>
    </row>
    <row r="67" spans="1:11" x14ac:dyDescent="0.25">
      <c r="A67" s="15">
        <v>92290267</v>
      </c>
      <c r="B67" s="15" t="s">
        <v>227</v>
      </c>
      <c r="C67" s="6" t="s">
        <v>228</v>
      </c>
      <c r="D67" s="6" t="s">
        <v>35</v>
      </c>
      <c r="E67" s="4" t="s">
        <v>229</v>
      </c>
      <c r="F67" s="12">
        <v>35812</v>
      </c>
      <c r="G67" s="59">
        <v>46073</v>
      </c>
      <c r="H67" s="59">
        <v>45346</v>
      </c>
      <c r="I67" s="11">
        <f t="shared" ca="1" si="3"/>
        <v>56</v>
      </c>
      <c r="J67" s="59">
        <f>EDATE(G67-1,12)</f>
        <v>46437</v>
      </c>
      <c r="K67" s="9">
        <f>EDATE(H67-1,12*5)</f>
        <v>47172</v>
      </c>
    </row>
    <row r="68" spans="1:11" x14ac:dyDescent="0.25">
      <c r="A68" s="15">
        <v>24911506</v>
      </c>
      <c r="B68" s="15" t="s">
        <v>230</v>
      </c>
      <c r="C68" s="15" t="s">
        <v>231</v>
      </c>
      <c r="D68" s="6" t="s">
        <v>64</v>
      </c>
      <c r="E68" s="13" t="s">
        <v>232</v>
      </c>
      <c r="F68" s="13" t="s">
        <v>233</v>
      </c>
      <c r="G68" s="59">
        <v>45482</v>
      </c>
      <c r="H68" s="59">
        <v>44776</v>
      </c>
      <c r="I68" s="11">
        <f t="shared" ca="1" si="3"/>
        <v>37</v>
      </c>
      <c r="J68" s="59">
        <f>EDATE(G68-1,60)</f>
        <v>47307</v>
      </c>
      <c r="K68" s="9">
        <f>EDATE(H68-1,12*5)</f>
        <v>46601</v>
      </c>
    </row>
    <row r="69" spans="1:11" x14ac:dyDescent="0.25">
      <c r="A69" s="6">
        <v>24910757</v>
      </c>
      <c r="B69" s="6" t="s">
        <v>234</v>
      </c>
      <c r="C69" s="6" t="s">
        <v>235</v>
      </c>
      <c r="D69" s="6" t="s">
        <v>236</v>
      </c>
      <c r="E69" s="4" t="s">
        <v>237</v>
      </c>
      <c r="F69" s="4" t="s">
        <v>238</v>
      </c>
      <c r="G69" s="59">
        <v>45383</v>
      </c>
      <c r="H69" s="46">
        <v>45733</v>
      </c>
      <c r="I69" s="11">
        <f t="shared" ca="1" si="3"/>
        <v>43</v>
      </c>
      <c r="J69" s="59">
        <f>EDATE(G69-1,60)</f>
        <v>47208</v>
      </c>
      <c r="K69" s="9">
        <f>EDATE(H69-1,12*5)</f>
        <v>47558</v>
      </c>
    </row>
    <row r="70" spans="1:11" x14ac:dyDescent="0.25">
      <c r="A70" s="6">
        <v>92492501</v>
      </c>
      <c r="B70" s="17" t="s">
        <v>224</v>
      </c>
      <c r="C70" s="17" t="s">
        <v>239</v>
      </c>
      <c r="D70" s="6" t="s">
        <v>124</v>
      </c>
      <c r="E70" s="12">
        <v>25425</v>
      </c>
      <c r="F70" s="12">
        <v>33870</v>
      </c>
      <c r="G70" s="59">
        <v>45908</v>
      </c>
      <c r="H70" s="46">
        <v>45512</v>
      </c>
      <c r="I70" s="11">
        <f t="shared" ca="1" si="3"/>
        <v>57</v>
      </c>
      <c r="J70" s="91">
        <f>EDATE(G70-1,12)</f>
        <v>46272</v>
      </c>
      <c r="K70" s="9">
        <f>EDATE(H70-1,12*5)</f>
        <v>47337</v>
      </c>
    </row>
    <row r="71" spans="1:11" x14ac:dyDescent="0.25">
      <c r="A71" s="6">
        <v>24912325</v>
      </c>
      <c r="B71" s="17" t="s">
        <v>240</v>
      </c>
      <c r="C71" s="17" t="s">
        <v>241</v>
      </c>
      <c r="D71" s="6" t="s">
        <v>242</v>
      </c>
      <c r="E71" s="4" t="s">
        <v>243</v>
      </c>
      <c r="F71" s="12">
        <v>37837</v>
      </c>
      <c r="G71" s="59">
        <v>46213</v>
      </c>
      <c r="H71" s="46">
        <v>44902</v>
      </c>
      <c r="I71" s="11">
        <f t="shared" ca="1" si="3"/>
        <v>51</v>
      </c>
      <c r="J71" s="91">
        <f>EDATE(G71-1,36)</f>
        <v>47308</v>
      </c>
      <c r="K71" s="9">
        <f>EDATE(H71-1,12*5)</f>
        <v>46727</v>
      </c>
    </row>
    <row r="72" spans="1:11" x14ac:dyDescent="0.25">
      <c r="A72" s="6">
        <v>92493112</v>
      </c>
      <c r="B72" s="17" t="s">
        <v>244</v>
      </c>
      <c r="C72" s="17" t="s">
        <v>245</v>
      </c>
      <c r="D72" s="6" t="s">
        <v>124</v>
      </c>
      <c r="E72" s="4" t="s">
        <v>246</v>
      </c>
      <c r="F72" s="12">
        <v>39090</v>
      </c>
      <c r="G72" s="59">
        <v>46031</v>
      </c>
      <c r="H72" s="46">
        <v>45377</v>
      </c>
      <c r="I72" s="11">
        <f t="shared" ca="1" si="3"/>
        <v>56</v>
      </c>
      <c r="J72" s="72">
        <f t="shared" ref="J72:J77" si="5">EDATE(G72-1,12)</f>
        <v>46395</v>
      </c>
      <c r="K72" s="9">
        <f>EDATE(H72-1,12*5)</f>
        <v>47202</v>
      </c>
    </row>
    <row r="73" spans="1:11" x14ac:dyDescent="0.25">
      <c r="A73" s="6">
        <v>92290308</v>
      </c>
      <c r="B73" s="17" t="s">
        <v>247</v>
      </c>
      <c r="C73" s="17" t="s">
        <v>248</v>
      </c>
      <c r="D73" s="6" t="s">
        <v>124</v>
      </c>
      <c r="E73" s="4" t="s">
        <v>249</v>
      </c>
      <c r="F73" s="4" t="s">
        <v>250</v>
      </c>
      <c r="G73" s="59">
        <v>45889</v>
      </c>
      <c r="H73" s="46">
        <v>45486</v>
      </c>
      <c r="I73" s="2">
        <f t="shared" ca="1" si="3"/>
        <v>57</v>
      </c>
      <c r="J73" s="91">
        <f t="shared" si="5"/>
        <v>46253</v>
      </c>
      <c r="K73" s="9">
        <f>EDATE(H73-1,12*5)</f>
        <v>47311</v>
      </c>
    </row>
    <row r="74" spans="1:11" x14ac:dyDescent="0.25">
      <c r="A74" s="6">
        <v>92492727</v>
      </c>
      <c r="B74" s="17" t="s">
        <v>251</v>
      </c>
      <c r="C74" s="17" t="s">
        <v>252</v>
      </c>
      <c r="D74" s="6" t="s">
        <v>124</v>
      </c>
      <c r="E74" s="4" t="s">
        <v>253</v>
      </c>
      <c r="F74" s="4" t="s">
        <v>254</v>
      </c>
      <c r="G74" s="59">
        <v>45888</v>
      </c>
      <c r="H74" s="46">
        <v>45615</v>
      </c>
      <c r="I74" s="2">
        <f t="shared" ca="1" si="3"/>
        <v>57</v>
      </c>
      <c r="J74" s="92">
        <f t="shared" si="5"/>
        <v>46252</v>
      </c>
      <c r="K74" s="9">
        <f>EDATE(H74-1,12*5)</f>
        <v>47440</v>
      </c>
    </row>
    <row r="75" spans="1:11" x14ac:dyDescent="0.25">
      <c r="A75" s="6">
        <v>92289588</v>
      </c>
      <c r="B75" s="17" t="s">
        <v>255</v>
      </c>
      <c r="C75" s="17" t="s">
        <v>256</v>
      </c>
      <c r="D75" s="6" t="s">
        <v>242</v>
      </c>
      <c r="E75" s="12">
        <v>26027</v>
      </c>
      <c r="F75" s="12">
        <v>34932</v>
      </c>
      <c r="G75" s="59">
        <v>45923</v>
      </c>
      <c r="H75" s="46">
        <v>45399</v>
      </c>
      <c r="I75" s="11">
        <f t="shared" ca="1" si="3"/>
        <v>55</v>
      </c>
      <c r="J75" s="92">
        <f t="shared" si="5"/>
        <v>46287</v>
      </c>
      <c r="K75" s="9">
        <f>EDATE(H75-1,12*5)</f>
        <v>47224</v>
      </c>
    </row>
    <row r="76" spans="1:11" x14ac:dyDescent="0.25">
      <c r="A76" s="6">
        <v>92492953</v>
      </c>
      <c r="B76" s="21" t="s">
        <v>257</v>
      </c>
      <c r="C76" s="17" t="s">
        <v>258</v>
      </c>
      <c r="D76" s="6" t="s">
        <v>124</v>
      </c>
      <c r="E76" s="4" t="s">
        <v>259</v>
      </c>
      <c r="F76" s="12">
        <v>33033</v>
      </c>
      <c r="G76" s="59">
        <v>46069</v>
      </c>
      <c r="H76" s="46">
        <v>46093</v>
      </c>
      <c r="I76" s="11">
        <f t="shared" ca="1" si="3"/>
        <v>59</v>
      </c>
      <c r="J76" s="59">
        <f t="shared" si="5"/>
        <v>46433</v>
      </c>
      <c r="K76" s="9">
        <f>EDATE(H76-1,12*5)</f>
        <v>47918</v>
      </c>
    </row>
    <row r="77" spans="1:11" x14ac:dyDescent="0.25">
      <c r="A77" s="6">
        <v>92493061</v>
      </c>
      <c r="B77" s="17" t="s">
        <v>260</v>
      </c>
      <c r="C77" s="17" t="s">
        <v>261</v>
      </c>
      <c r="D77" s="6" t="s">
        <v>124</v>
      </c>
      <c r="E77" s="4" t="s">
        <v>262</v>
      </c>
      <c r="F77" s="4" t="s">
        <v>263</v>
      </c>
      <c r="G77" s="59">
        <v>46188</v>
      </c>
      <c r="H77" s="46">
        <v>45477</v>
      </c>
      <c r="I77" s="11">
        <f t="shared" ca="1" si="3"/>
        <v>54</v>
      </c>
      <c r="J77" s="59">
        <f t="shared" si="5"/>
        <v>46552</v>
      </c>
      <c r="K77" s="9">
        <f>EDATE(H77-1,12*5)</f>
        <v>47302</v>
      </c>
    </row>
    <row r="78" spans="1:11" x14ac:dyDescent="0.25">
      <c r="A78" s="6">
        <v>92493108</v>
      </c>
      <c r="B78" s="17" t="s">
        <v>264</v>
      </c>
      <c r="C78" s="17" t="s">
        <v>265</v>
      </c>
      <c r="D78" s="6" t="s">
        <v>266</v>
      </c>
      <c r="E78" s="4" t="s">
        <v>267</v>
      </c>
      <c r="F78" s="12">
        <v>35618</v>
      </c>
      <c r="G78" s="59">
        <v>45818</v>
      </c>
      <c r="H78" s="46">
        <v>46097</v>
      </c>
      <c r="I78" s="11">
        <f t="shared" ca="1" si="3"/>
        <v>47</v>
      </c>
      <c r="J78" s="92">
        <f>EDATE(G78-1,36)</f>
        <v>46913</v>
      </c>
      <c r="K78" s="9">
        <f>EDATE(H78-1,12*5)</f>
        <v>47922</v>
      </c>
    </row>
    <row r="79" spans="1:11" x14ac:dyDescent="0.25">
      <c r="A79" s="6">
        <v>92492504</v>
      </c>
      <c r="B79" s="17" t="s">
        <v>268</v>
      </c>
      <c r="C79" s="17" t="s">
        <v>269</v>
      </c>
      <c r="D79" s="6" t="s">
        <v>270</v>
      </c>
      <c r="E79" s="4" t="s">
        <v>271</v>
      </c>
      <c r="F79" s="12">
        <v>33340</v>
      </c>
      <c r="G79" s="59">
        <v>46070</v>
      </c>
      <c r="H79" s="46">
        <v>44987</v>
      </c>
      <c r="I79" s="11">
        <f t="shared" ca="1" si="3"/>
        <v>56</v>
      </c>
      <c r="J79" s="59">
        <f t="shared" ref="J79:J84" si="6">EDATE(G79-1,12)</f>
        <v>46434</v>
      </c>
      <c r="K79" s="9">
        <f>EDATE(H79-1,12*5)</f>
        <v>46813</v>
      </c>
    </row>
    <row r="80" spans="1:11" x14ac:dyDescent="0.25">
      <c r="A80" s="6">
        <v>92493562</v>
      </c>
      <c r="B80" s="17" t="s">
        <v>272</v>
      </c>
      <c r="C80" s="17" t="s">
        <v>273</v>
      </c>
      <c r="D80" s="6" t="s">
        <v>270</v>
      </c>
      <c r="E80" s="12">
        <v>24935</v>
      </c>
      <c r="F80" s="4" t="s">
        <v>274</v>
      </c>
      <c r="G80" s="59">
        <v>46072</v>
      </c>
      <c r="H80" s="46">
        <v>45726</v>
      </c>
      <c r="I80" s="11">
        <f t="shared" ca="1" si="3"/>
        <v>58</v>
      </c>
      <c r="J80" s="59">
        <f t="shared" si="6"/>
        <v>46436</v>
      </c>
      <c r="K80" s="9">
        <f>EDATE(H80-1,12*5)</f>
        <v>47551</v>
      </c>
    </row>
    <row r="81" spans="1:11" x14ac:dyDescent="0.25">
      <c r="A81" s="6">
        <v>92493563</v>
      </c>
      <c r="B81" s="17" t="s">
        <v>275</v>
      </c>
      <c r="C81" s="17" t="s">
        <v>276</v>
      </c>
      <c r="D81" s="6" t="s">
        <v>277</v>
      </c>
      <c r="E81" s="4" t="s">
        <v>278</v>
      </c>
      <c r="F81" s="12">
        <v>33151</v>
      </c>
      <c r="G81" s="59">
        <v>46069</v>
      </c>
      <c r="H81" s="46">
        <v>46119</v>
      </c>
      <c r="I81" s="11">
        <f t="shared" ca="1" si="3"/>
        <v>58</v>
      </c>
      <c r="J81" s="59">
        <f t="shared" si="6"/>
        <v>46433</v>
      </c>
      <c r="K81" s="9">
        <f>EDATE(H81-1,12*5)</f>
        <v>47944</v>
      </c>
    </row>
    <row r="82" spans="1:11" x14ac:dyDescent="0.25">
      <c r="A82" s="6">
        <v>92492474</v>
      </c>
      <c r="B82" s="17" t="s">
        <v>279</v>
      </c>
      <c r="C82" s="17" t="s">
        <v>280</v>
      </c>
      <c r="D82" s="6" t="s">
        <v>277</v>
      </c>
      <c r="E82" s="12">
        <v>25819</v>
      </c>
      <c r="F82" s="12">
        <v>33306</v>
      </c>
      <c r="G82" s="61">
        <v>46182</v>
      </c>
      <c r="H82" s="46">
        <v>44634</v>
      </c>
      <c r="I82" s="11">
        <f t="shared" ca="1" si="3"/>
        <v>55</v>
      </c>
      <c r="J82" s="61">
        <f t="shared" si="6"/>
        <v>46546</v>
      </c>
      <c r="K82" s="9">
        <f>EDATE(H82-1,12*5)</f>
        <v>46459</v>
      </c>
    </row>
    <row r="83" spans="1:11" x14ac:dyDescent="0.25">
      <c r="A83" s="6">
        <v>92492514</v>
      </c>
      <c r="B83" s="17" t="s">
        <v>281</v>
      </c>
      <c r="C83" s="17" t="s">
        <v>282</v>
      </c>
      <c r="D83" s="6" t="s">
        <v>277</v>
      </c>
      <c r="E83" s="12">
        <v>27125</v>
      </c>
      <c r="F83" s="4" t="s">
        <v>283</v>
      </c>
      <c r="G83" s="59">
        <v>45842</v>
      </c>
      <c r="H83" s="46">
        <v>44637</v>
      </c>
      <c r="I83" s="2">
        <f t="shared" ca="1" si="3"/>
        <v>52</v>
      </c>
      <c r="J83" s="61">
        <f t="shared" si="6"/>
        <v>46206</v>
      </c>
      <c r="K83" s="9">
        <f>EDATE(H83-1,12*5)</f>
        <v>46462</v>
      </c>
    </row>
    <row r="84" spans="1:11" x14ac:dyDescent="0.25">
      <c r="A84" s="6">
        <v>92492515</v>
      </c>
      <c r="B84" s="17" t="s">
        <v>284</v>
      </c>
      <c r="C84" s="17" t="s">
        <v>285</v>
      </c>
      <c r="D84" s="6" t="s">
        <v>277</v>
      </c>
      <c r="E84" s="12">
        <v>25097</v>
      </c>
      <c r="F84" s="4" t="s">
        <v>286</v>
      </c>
      <c r="G84" s="61">
        <v>46188</v>
      </c>
      <c r="H84" s="46">
        <v>45133</v>
      </c>
      <c r="I84" s="11">
        <f t="shared" ca="1" si="3"/>
        <v>57</v>
      </c>
      <c r="J84" s="61">
        <f t="shared" si="6"/>
        <v>46552</v>
      </c>
      <c r="K84" s="9">
        <f>EDATE(H84-1,12*5)</f>
        <v>46959</v>
      </c>
    </row>
    <row r="85" spans="1:11" x14ac:dyDescent="0.25">
      <c r="A85" s="6">
        <v>92304073</v>
      </c>
      <c r="B85" s="17" t="s">
        <v>287</v>
      </c>
      <c r="C85" s="17" t="s">
        <v>288</v>
      </c>
      <c r="D85" s="6" t="s">
        <v>289</v>
      </c>
      <c r="E85" s="4" t="s">
        <v>290</v>
      </c>
      <c r="F85" s="4" t="s">
        <v>291</v>
      </c>
      <c r="G85" s="59">
        <v>45806</v>
      </c>
      <c r="H85" s="46">
        <v>45625</v>
      </c>
      <c r="I85" s="11">
        <f t="shared" ca="1" si="3"/>
        <v>51</v>
      </c>
      <c r="J85" s="61">
        <f>EDATE(G85-1,36)</f>
        <v>46901</v>
      </c>
      <c r="K85" s="9">
        <f>EDATE(H85-1,12*5)</f>
        <v>47450</v>
      </c>
    </row>
    <row r="86" spans="1:11" x14ac:dyDescent="0.25">
      <c r="A86" s="6">
        <v>92400678</v>
      </c>
      <c r="B86" s="17" t="s">
        <v>292</v>
      </c>
      <c r="C86" s="17" t="s">
        <v>293</v>
      </c>
      <c r="D86" s="6" t="s">
        <v>289</v>
      </c>
      <c r="E86" s="12">
        <v>28466</v>
      </c>
      <c r="F86" s="4" t="s">
        <v>294</v>
      </c>
      <c r="G86" s="59">
        <v>45839</v>
      </c>
      <c r="H86" s="46">
        <v>45066</v>
      </c>
      <c r="I86" s="11">
        <f t="shared" ca="1" si="3"/>
        <v>48</v>
      </c>
      <c r="J86" s="61">
        <f>EDATE(G86-1,36)</f>
        <v>46934</v>
      </c>
      <c r="K86" s="9">
        <f>EDATE(H86-1,12*5)</f>
        <v>46892</v>
      </c>
    </row>
    <row r="87" spans="1:11" x14ac:dyDescent="0.25">
      <c r="A87" s="6">
        <v>92493300</v>
      </c>
      <c r="B87" s="17" t="s">
        <v>295</v>
      </c>
      <c r="C87" s="17" t="s">
        <v>296</v>
      </c>
      <c r="D87" s="6" t="s">
        <v>297</v>
      </c>
      <c r="E87" s="4" t="s">
        <v>298</v>
      </c>
      <c r="F87" s="12">
        <v>33308</v>
      </c>
      <c r="G87" s="61">
        <v>45889</v>
      </c>
      <c r="H87" s="46">
        <v>45429</v>
      </c>
      <c r="I87" s="2">
        <f t="shared" ca="1" si="3"/>
        <v>59</v>
      </c>
      <c r="J87" s="61">
        <f>EDATE(G87-1,12)</f>
        <v>46253</v>
      </c>
      <c r="K87" s="9">
        <f>EDATE(H87-1,12*5)</f>
        <v>47254</v>
      </c>
    </row>
    <row r="88" spans="1:11" x14ac:dyDescent="0.25">
      <c r="A88" s="6">
        <v>92492488</v>
      </c>
      <c r="B88" s="17" t="s">
        <v>299</v>
      </c>
      <c r="C88" s="17" t="s">
        <v>300</v>
      </c>
      <c r="D88" s="6" t="s">
        <v>297</v>
      </c>
      <c r="E88" s="4" t="s">
        <v>301</v>
      </c>
      <c r="F88" s="4" t="s">
        <v>302</v>
      </c>
      <c r="G88" s="59">
        <v>46070</v>
      </c>
      <c r="H88" s="46">
        <v>44714</v>
      </c>
      <c r="I88" s="11">
        <f t="shared" ca="1" si="3"/>
        <v>58</v>
      </c>
      <c r="J88" s="61">
        <f>EDATE(G88-1,12)</f>
        <v>46434</v>
      </c>
      <c r="K88" s="9">
        <f>EDATE(H88-1,12*5)</f>
        <v>46539</v>
      </c>
    </row>
    <row r="89" spans="1:11" x14ac:dyDescent="0.25">
      <c r="A89" s="6">
        <v>92493690</v>
      </c>
      <c r="B89" s="17" t="s">
        <v>303</v>
      </c>
      <c r="C89" s="17" t="s">
        <v>304</v>
      </c>
      <c r="D89" s="6" t="s">
        <v>297</v>
      </c>
      <c r="E89" s="4" t="s">
        <v>305</v>
      </c>
      <c r="F89" s="4" t="s">
        <v>306</v>
      </c>
      <c r="G89" s="59">
        <v>46167</v>
      </c>
      <c r="H89" s="46">
        <v>45363</v>
      </c>
      <c r="I89" s="11">
        <f t="shared" ca="1" si="3"/>
        <v>58</v>
      </c>
      <c r="J89" s="61">
        <f>EDATE(G89-1,12)</f>
        <v>46531</v>
      </c>
      <c r="K89" s="9">
        <f>EDATE(H89-1,12*5)</f>
        <v>47188</v>
      </c>
    </row>
    <row r="90" spans="1:11" x14ac:dyDescent="0.25">
      <c r="A90" s="6">
        <v>92493642</v>
      </c>
      <c r="B90" s="17" t="s">
        <v>307</v>
      </c>
      <c r="C90" s="17" t="s">
        <v>308</v>
      </c>
      <c r="D90" s="6" t="s">
        <v>309</v>
      </c>
      <c r="E90" s="12">
        <v>26786</v>
      </c>
      <c r="F90" s="4" t="s">
        <v>310</v>
      </c>
      <c r="G90" s="59">
        <v>46058</v>
      </c>
      <c r="H90" s="46">
        <v>46108</v>
      </c>
      <c r="I90" s="11">
        <f t="shared" ca="1" si="3"/>
        <v>53</v>
      </c>
      <c r="J90" s="72">
        <f>EDATE(G90-1,12)</f>
        <v>46422</v>
      </c>
      <c r="K90" s="9">
        <f>EDATE(H90-1,12*5)</f>
        <v>47933</v>
      </c>
    </row>
    <row r="91" spans="1:11" x14ac:dyDescent="0.25">
      <c r="A91" s="6">
        <v>92494051</v>
      </c>
      <c r="B91" s="17" t="s">
        <v>311</v>
      </c>
      <c r="C91" s="17" t="s">
        <v>312</v>
      </c>
      <c r="D91" s="6" t="s">
        <v>313</v>
      </c>
      <c r="E91" s="4" t="s">
        <v>314</v>
      </c>
      <c r="F91" s="4" t="s">
        <v>315</v>
      </c>
      <c r="G91" s="61">
        <v>46148</v>
      </c>
      <c r="H91" s="46">
        <v>46099</v>
      </c>
      <c r="I91" s="11">
        <f t="shared" ca="1" si="3"/>
        <v>58</v>
      </c>
      <c r="J91" s="61">
        <f>EDATE(G91-1,12)</f>
        <v>46512</v>
      </c>
      <c r="K91" s="9">
        <f>EDATE(H91-1,12*5)</f>
        <v>47924</v>
      </c>
    </row>
    <row r="92" spans="1:11" x14ac:dyDescent="0.25">
      <c r="A92" s="6">
        <v>24904601</v>
      </c>
      <c r="B92" s="6" t="s">
        <v>316</v>
      </c>
      <c r="C92" s="6" t="s">
        <v>317</v>
      </c>
      <c r="D92" s="6" t="s">
        <v>309</v>
      </c>
      <c r="E92" s="4" t="s">
        <v>318</v>
      </c>
      <c r="F92" s="4" t="s">
        <v>319</v>
      </c>
      <c r="G92" s="62">
        <v>44421</v>
      </c>
      <c r="H92" s="80">
        <v>45897</v>
      </c>
      <c r="I92" s="2">
        <f t="shared" ca="1" si="3"/>
        <v>45</v>
      </c>
      <c r="J92" s="59">
        <f>EDATE(G92-1,60)</f>
        <v>46246</v>
      </c>
      <c r="K92" s="9">
        <f>EDATE(H92-1,12*5)</f>
        <v>47722</v>
      </c>
    </row>
    <row r="93" spans="1:11" x14ac:dyDescent="0.25">
      <c r="A93" s="6">
        <v>92292570</v>
      </c>
      <c r="B93" s="6" t="s">
        <v>320</v>
      </c>
      <c r="C93" s="6" t="s">
        <v>308</v>
      </c>
      <c r="D93" s="6" t="s">
        <v>321</v>
      </c>
      <c r="E93" s="12">
        <v>25905</v>
      </c>
      <c r="F93" s="12">
        <v>33586</v>
      </c>
      <c r="G93" s="59">
        <v>46092</v>
      </c>
      <c r="H93" s="46">
        <v>45776</v>
      </c>
      <c r="I93" s="11">
        <f t="shared" ca="1" si="3"/>
        <v>55</v>
      </c>
      <c r="J93" s="59">
        <f>EDATE(G93-1,12)</f>
        <v>46456</v>
      </c>
      <c r="K93" s="9">
        <f>EDATE(H93-1,12*5)</f>
        <v>47601</v>
      </c>
    </row>
    <row r="94" spans="1:11" x14ac:dyDescent="0.25">
      <c r="A94" s="6">
        <v>92493386</v>
      </c>
      <c r="B94" s="6" t="s">
        <v>322</v>
      </c>
      <c r="C94" s="6" t="s">
        <v>323</v>
      </c>
      <c r="D94" s="6" t="s">
        <v>324</v>
      </c>
      <c r="E94" s="4" t="s">
        <v>325</v>
      </c>
      <c r="F94" s="4" t="s">
        <v>326</v>
      </c>
      <c r="G94" s="59">
        <v>46169</v>
      </c>
      <c r="H94" s="46">
        <v>45044</v>
      </c>
      <c r="I94" s="11">
        <f t="shared" ca="1" si="3"/>
        <v>48</v>
      </c>
      <c r="J94" s="59">
        <f>EDATE(G94-1,36)</f>
        <v>47264</v>
      </c>
      <c r="K94" s="9">
        <f>EDATE(H94-1,12*5)</f>
        <v>46870</v>
      </c>
    </row>
    <row r="95" spans="1:11" x14ac:dyDescent="0.25">
      <c r="A95" s="6">
        <v>92493644</v>
      </c>
      <c r="B95" s="6" t="s">
        <v>327</v>
      </c>
      <c r="C95" s="6" t="s">
        <v>328</v>
      </c>
      <c r="D95" s="6" t="s">
        <v>324</v>
      </c>
      <c r="E95" s="4" t="s">
        <v>329</v>
      </c>
      <c r="F95" s="4" t="s">
        <v>330</v>
      </c>
      <c r="G95" s="59">
        <v>45167</v>
      </c>
      <c r="H95" s="46">
        <v>45146</v>
      </c>
      <c r="I95" s="2">
        <f t="shared" ca="1" si="3"/>
        <v>48</v>
      </c>
      <c r="J95" s="59">
        <f>EDATE(G95-1,36)</f>
        <v>46262</v>
      </c>
      <c r="K95" s="9">
        <f>EDATE(H95-1,12*5)</f>
        <v>46972</v>
      </c>
    </row>
    <row r="96" spans="1:11" x14ac:dyDescent="0.25">
      <c r="A96" s="6">
        <v>92290430</v>
      </c>
      <c r="B96" s="17" t="s">
        <v>331</v>
      </c>
      <c r="C96" s="17" t="s">
        <v>332</v>
      </c>
      <c r="D96" s="6" t="s">
        <v>333</v>
      </c>
      <c r="E96" s="12">
        <v>25153</v>
      </c>
      <c r="F96" s="12">
        <v>33575</v>
      </c>
      <c r="G96" s="61">
        <v>46156</v>
      </c>
      <c r="H96" s="46">
        <v>45525</v>
      </c>
      <c r="I96" s="11">
        <f t="shared" ca="1" si="3"/>
        <v>57</v>
      </c>
      <c r="J96" s="61">
        <f>EDATE(G96-1,12)</f>
        <v>46520</v>
      </c>
      <c r="K96" s="9">
        <f>EDATE(H96-1,12*5)</f>
        <v>47350</v>
      </c>
    </row>
    <row r="97" spans="1:11" x14ac:dyDescent="0.25">
      <c r="A97" s="6">
        <v>92290335</v>
      </c>
      <c r="B97" s="17" t="s">
        <v>334</v>
      </c>
      <c r="C97" s="17" t="s">
        <v>335</v>
      </c>
      <c r="D97" s="6" t="s">
        <v>336</v>
      </c>
      <c r="E97" s="12">
        <v>27364</v>
      </c>
      <c r="F97" s="12">
        <v>36700</v>
      </c>
      <c r="G97" s="59">
        <v>45862</v>
      </c>
      <c r="H97" s="46">
        <v>45412</v>
      </c>
      <c r="I97" s="11">
        <f t="shared" ca="1" si="3"/>
        <v>51</v>
      </c>
      <c r="J97" s="61">
        <f>EDATE(G97-1,36)</f>
        <v>46957</v>
      </c>
      <c r="K97" s="9">
        <f>EDATE(H97-1,12*5)</f>
        <v>47237</v>
      </c>
    </row>
    <row r="98" spans="1:11" x14ac:dyDescent="0.25">
      <c r="A98" s="6">
        <v>92290165</v>
      </c>
      <c r="B98" s="17" t="s">
        <v>337</v>
      </c>
      <c r="C98" s="17" t="s">
        <v>338</v>
      </c>
      <c r="D98" s="6" t="s">
        <v>333</v>
      </c>
      <c r="E98" s="12">
        <v>24694</v>
      </c>
      <c r="F98" s="12">
        <v>33904</v>
      </c>
      <c r="G98" s="59">
        <v>46097</v>
      </c>
      <c r="H98" s="46">
        <v>45068</v>
      </c>
      <c r="I98" s="11">
        <f t="shared" ca="1" si="3"/>
        <v>59</v>
      </c>
      <c r="J98" s="61">
        <f>EDATE(G98-1,12)</f>
        <v>46461</v>
      </c>
      <c r="K98" s="9">
        <f>EDATE(H98-1,12*5)</f>
        <v>46894</v>
      </c>
    </row>
    <row r="99" spans="1:11" x14ac:dyDescent="0.25">
      <c r="A99" s="6">
        <v>24901862</v>
      </c>
      <c r="B99" s="17" t="s">
        <v>339</v>
      </c>
      <c r="C99" s="17" t="s">
        <v>340</v>
      </c>
      <c r="D99" s="6" t="s">
        <v>341</v>
      </c>
      <c r="E99" s="12">
        <v>26885</v>
      </c>
      <c r="F99" s="12">
        <v>38146</v>
      </c>
      <c r="G99" s="59">
        <v>46133</v>
      </c>
      <c r="H99" s="46">
        <v>44571</v>
      </c>
      <c r="I99" s="11">
        <f t="shared" ca="1" si="3"/>
        <v>53</v>
      </c>
      <c r="J99" s="61">
        <f>EDATE(G99-1,12)</f>
        <v>46497</v>
      </c>
      <c r="K99" s="9">
        <f>EDATE(H99-1,12*5)</f>
        <v>46396</v>
      </c>
    </row>
    <row r="100" spans="1:11" x14ac:dyDescent="0.25">
      <c r="A100" s="6">
        <v>92493586</v>
      </c>
      <c r="B100" s="6" t="s">
        <v>342</v>
      </c>
      <c r="C100" s="6" t="s">
        <v>280</v>
      </c>
      <c r="D100" s="6" t="s">
        <v>343</v>
      </c>
      <c r="E100" s="4" t="s">
        <v>344</v>
      </c>
      <c r="F100" s="4" t="s">
        <v>345</v>
      </c>
      <c r="G100" s="22">
        <v>46034</v>
      </c>
      <c r="H100" s="81">
        <v>44447</v>
      </c>
      <c r="I100" s="11">
        <f t="shared" ca="1" si="3"/>
        <v>55</v>
      </c>
      <c r="J100" s="72">
        <f>EDATE(G100-1,12)</f>
        <v>46398</v>
      </c>
      <c r="K100" s="9">
        <f>EDATE(H100-1,12*5)</f>
        <v>46272</v>
      </c>
    </row>
    <row r="101" spans="1:11" x14ac:dyDescent="0.25">
      <c r="A101" s="6">
        <v>92494224</v>
      </c>
      <c r="B101" s="17" t="s">
        <v>346</v>
      </c>
      <c r="C101" s="17" t="s">
        <v>347</v>
      </c>
      <c r="D101" s="6" t="s">
        <v>348</v>
      </c>
      <c r="E101" s="12">
        <v>27853</v>
      </c>
      <c r="F101" s="4" t="s">
        <v>349</v>
      </c>
      <c r="G101" s="59">
        <v>45353</v>
      </c>
      <c r="H101" s="46">
        <v>45768</v>
      </c>
      <c r="I101" s="11">
        <f t="shared" ca="1" si="3"/>
        <v>50</v>
      </c>
      <c r="J101" s="59">
        <f>EDATE(G101-1,36)</f>
        <v>46447</v>
      </c>
      <c r="K101" s="9">
        <f>EDATE(H101-1,12*5)</f>
        <v>47593</v>
      </c>
    </row>
    <row r="102" spans="1:11" x14ac:dyDescent="0.25">
      <c r="A102" s="6">
        <v>92494206</v>
      </c>
      <c r="B102" s="17" t="s">
        <v>350</v>
      </c>
      <c r="C102" s="17" t="s">
        <v>351</v>
      </c>
      <c r="D102" s="6" t="s">
        <v>352</v>
      </c>
      <c r="E102" s="12">
        <v>26104</v>
      </c>
      <c r="F102" s="12">
        <v>35230</v>
      </c>
      <c r="G102" s="59">
        <v>46034</v>
      </c>
      <c r="H102" s="46">
        <v>45535</v>
      </c>
      <c r="I102" s="11">
        <f t="shared" ca="1" si="3"/>
        <v>55</v>
      </c>
      <c r="J102" s="72">
        <f>EDATE(G102-1,12)</f>
        <v>46398</v>
      </c>
      <c r="K102" s="9">
        <f>EDATE(H102-1,12*5)</f>
        <v>47360</v>
      </c>
    </row>
    <row r="103" spans="1:11" x14ac:dyDescent="0.25">
      <c r="A103" s="6">
        <v>92494278</v>
      </c>
      <c r="B103" s="17" t="s">
        <v>353</v>
      </c>
      <c r="C103" s="17" t="s">
        <v>354</v>
      </c>
      <c r="D103" s="6" t="s">
        <v>352</v>
      </c>
      <c r="E103" s="4" t="s">
        <v>355</v>
      </c>
      <c r="F103" s="12">
        <v>34933</v>
      </c>
      <c r="G103" s="61">
        <v>46204</v>
      </c>
      <c r="H103" s="46">
        <v>45878</v>
      </c>
      <c r="I103" s="11">
        <f t="shared" ca="1" si="3"/>
        <v>52</v>
      </c>
      <c r="J103" s="92">
        <f>EDATE(G103-1,36)</f>
        <v>47299</v>
      </c>
      <c r="K103" s="9">
        <f>EDATE(H103-1,12*5)</f>
        <v>47703</v>
      </c>
    </row>
    <row r="104" spans="1:11" x14ac:dyDescent="0.25">
      <c r="A104" s="6">
        <v>24912326</v>
      </c>
      <c r="B104" s="6" t="s">
        <v>356</v>
      </c>
      <c r="C104" s="6" t="s">
        <v>357</v>
      </c>
      <c r="D104" s="6" t="s">
        <v>309</v>
      </c>
      <c r="E104" s="4" t="s">
        <v>358</v>
      </c>
      <c r="F104" s="4" t="s">
        <v>359</v>
      </c>
      <c r="G104" s="59">
        <v>45874</v>
      </c>
      <c r="H104" s="46">
        <v>44797</v>
      </c>
      <c r="I104" s="11">
        <f t="shared" ca="1" si="3"/>
        <v>50</v>
      </c>
      <c r="J104" s="92">
        <f>EDATE(G104-1,36)</f>
        <v>46969</v>
      </c>
      <c r="K104" s="9">
        <f>EDATE(H104-1,12*5)</f>
        <v>46622</v>
      </c>
    </row>
    <row r="105" spans="1:11" x14ac:dyDescent="0.25">
      <c r="A105" s="6">
        <v>24901964</v>
      </c>
      <c r="B105" s="20" t="s">
        <v>360</v>
      </c>
      <c r="C105" s="6" t="s">
        <v>361</v>
      </c>
      <c r="D105" s="6" t="s">
        <v>362</v>
      </c>
      <c r="E105" s="4" t="s">
        <v>363</v>
      </c>
      <c r="F105" s="4" t="s">
        <v>364</v>
      </c>
      <c r="G105" s="59">
        <v>45027</v>
      </c>
      <c r="H105" s="46">
        <v>45318</v>
      </c>
      <c r="I105" s="11">
        <f t="shared" ca="1" si="3"/>
        <v>46</v>
      </c>
      <c r="J105" s="59">
        <f t="shared" ref="J105:J111" si="7">EDATE(G105-1,60)</f>
        <v>46853</v>
      </c>
      <c r="K105" s="9">
        <f>EDATE(H105-1,12*5)</f>
        <v>47144</v>
      </c>
    </row>
    <row r="106" spans="1:11" x14ac:dyDescent="0.25">
      <c r="A106" s="6">
        <v>24907941</v>
      </c>
      <c r="B106" s="6" t="s">
        <v>365</v>
      </c>
      <c r="C106" s="6" t="s">
        <v>366</v>
      </c>
      <c r="D106" s="6" t="s">
        <v>321</v>
      </c>
      <c r="E106" s="4" t="s">
        <v>367</v>
      </c>
      <c r="F106" s="12">
        <v>40641</v>
      </c>
      <c r="G106" s="59">
        <v>45898</v>
      </c>
      <c r="H106" s="46">
        <v>45339</v>
      </c>
      <c r="I106" s="11">
        <f t="shared" ca="1" si="3"/>
        <v>42</v>
      </c>
      <c r="J106" s="91">
        <f t="shared" si="7"/>
        <v>47723</v>
      </c>
      <c r="K106" s="9">
        <f>EDATE(H106-1,12*5)</f>
        <v>47165</v>
      </c>
    </row>
    <row r="107" spans="1:11" x14ac:dyDescent="0.25">
      <c r="A107" s="6">
        <v>24904678</v>
      </c>
      <c r="B107" s="6" t="s">
        <v>368</v>
      </c>
      <c r="C107" s="6" t="s">
        <v>369</v>
      </c>
      <c r="D107" s="6" t="s">
        <v>362</v>
      </c>
      <c r="E107" s="12">
        <v>32339</v>
      </c>
      <c r="F107" s="12">
        <v>39598</v>
      </c>
      <c r="G107" s="59">
        <v>45482</v>
      </c>
      <c r="H107" s="46">
        <v>45100</v>
      </c>
      <c r="I107" s="11">
        <f t="shared" ca="1" si="3"/>
        <v>38</v>
      </c>
      <c r="J107" s="59">
        <f t="shared" si="7"/>
        <v>47307</v>
      </c>
      <c r="K107" s="9">
        <f>EDATE(H107-1,12*5)</f>
        <v>46926</v>
      </c>
    </row>
    <row r="108" spans="1:11" x14ac:dyDescent="0.25">
      <c r="A108" s="6">
        <v>24909100</v>
      </c>
      <c r="B108" s="6" t="s">
        <v>370</v>
      </c>
      <c r="C108" s="6" t="s">
        <v>371</v>
      </c>
      <c r="D108" s="23" t="s">
        <v>372</v>
      </c>
      <c r="E108" s="4" t="s">
        <v>373</v>
      </c>
      <c r="F108" s="4" t="s">
        <v>374</v>
      </c>
      <c r="G108" s="59">
        <v>45516</v>
      </c>
      <c r="H108" s="46">
        <v>45136</v>
      </c>
      <c r="I108" s="11">
        <f t="shared" ca="1" si="3"/>
        <v>38</v>
      </c>
      <c r="J108" s="59">
        <f t="shared" si="7"/>
        <v>47341</v>
      </c>
      <c r="K108" s="9">
        <f>EDATE(H108-1,12*5)</f>
        <v>46962</v>
      </c>
    </row>
    <row r="109" spans="1:11" x14ac:dyDescent="0.25">
      <c r="A109" s="6">
        <v>24916867</v>
      </c>
      <c r="B109" s="17" t="s">
        <v>375</v>
      </c>
      <c r="C109" s="17" t="s">
        <v>376</v>
      </c>
      <c r="D109" s="6" t="s">
        <v>362</v>
      </c>
      <c r="E109" s="4" t="s">
        <v>377</v>
      </c>
      <c r="F109" s="4" t="s">
        <v>378</v>
      </c>
      <c r="G109" s="59">
        <v>45435</v>
      </c>
      <c r="H109" s="46">
        <v>45510</v>
      </c>
      <c r="I109" s="11">
        <f t="shared" ca="1" si="3"/>
        <v>34</v>
      </c>
      <c r="J109" s="59">
        <f t="shared" si="7"/>
        <v>47260</v>
      </c>
      <c r="K109" s="9">
        <f>EDATE(H109-1,12*5)</f>
        <v>47335</v>
      </c>
    </row>
    <row r="110" spans="1:11" x14ac:dyDescent="0.25">
      <c r="A110" s="6">
        <v>24916871</v>
      </c>
      <c r="B110" s="17" t="s">
        <v>379</v>
      </c>
      <c r="C110" s="17" t="s">
        <v>380</v>
      </c>
      <c r="D110" s="6" t="s">
        <v>362</v>
      </c>
      <c r="E110" s="12">
        <v>34887</v>
      </c>
      <c r="F110" s="4" t="s">
        <v>381</v>
      </c>
      <c r="G110" s="59">
        <v>45152</v>
      </c>
      <c r="H110" s="46">
        <v>46146</v>
      </c>
      <c r="I110" s="11">
        <f t="shared" ca="1" si="3"/>
        <v>31</v>
      </c>
      <c r="J110" s="59">
        <f t="shared" si="7"/>
        <v>46978</v>
      </c>
      <c r="K110" s="9">
        <f>EDATE(H110-1,12*5)</f>
        <v>47971</v>
      </c>
    </row>
    <row r="111" spans="1:11" x14ac:dyDescent="0.25">
      <c r="A111" s="6">
        <v>24916975</v>
      </c>
      <c r="B111" s="17" t="s">
        <v>382</v>
      </c>
      <c r="C111" s="17" t="s">
        <v>383</v>
      </c>
      <c r="D111" s="6" t="s">
        <v>362</v>
      </c>
      <c r="E111" s="4" t="s">
        <v>384</v>
      </c>
      <c r="F111" s="4" t="s">
        <v>385</v>
      </c>
      <c r="G111" s="22">
        <v>45364</v>
      </c>
      <c r="H111" s="82">
        <v>46076</v>
      </c>
      <c r="I111" s="11">
        <f t="shared" ca="1" si="3"/>
        <v>28</v>
      </c>
      <c r="J111" s="59">
        <f t="shared" si="7"/>
        <v>47189</v>
      </c>
      <c r="K111" s="9">
        <f>EDATE(H111-1,12*5)</f>
        <v>47901</v>
      </c>
    </row>
    <row r="112" spans="1:11" x14ac:dyDescent="0.25">
      <c r="A112" s="6">
        <v>92494331</v>
      </c>
      <c r="B112" s="17" t="s">
        <v>122</v>
      </c>
      <c r="C112" s="17" t="s">
        <v>386</v>
      </c>
      <c r="D112" s="6" t="s">
        <v>372</v>
      </c>
      <c r="E112" s="12">
        <v>25121</v>
      </c>
      <c r="F112" s="4" t="s">
        <v>387</v>
      </c>
      <c r="G112" s="59">
        <v>46224</v>
      </c>
      <c r="H112" s="83" t="s">
        <v>388</v>
      </c>
      <c r="I112" s="2">
        <f t="shared" ca="1" si="3"/>
        <v>57</v>
      </c>
      <c r="J112" s="92">
        <f>EDATE(G112-1,12)</f>
        <v>46588</v>
      </c>
      <c r="K112" s="9" t="e">
        <f>EDATE(H112-1,12*5)</f>
        <v>#VALUE!</v>
      </c>
    </row>
    <row r="113" spans="1:11" x14ac:dyDescent="0.25">
      <c r="A113" s="6">
        <v>24916869</v>
      </c>
      <c r="B113" s="17" t="s">
        <v>389</v>
      </c>
      <c r="C113" s="17" t="s">
        <v>390</v>
      </c>
      <c r="D113" s="6" t="s">
        <v>362</v>
      </c>
      <c r="E113" s="12">
        <v>31634</v>
      </c>
      <c r="F113" s="4" t="s">
        <v>391</v>
      </c>
      <c r="G113" s="59">
        <v>45534</v>
      </c>
      <c r="H113" s="82">
        <v>45069</v>
      </c>
      <c r="I113" s="11">
        <f t="shared" ref="I113:I176" ca="1" si="8">DATEDIF(E113,TODAY(),"y")</f>
        <v>40</v>
      </c>
      <c r="J113" s="59">
        <f>EDATE(G113-1,60)</f>
        <v>47359</v>
      </c>
      <c r="K113" s="9">
        <f>EDATE(H113-1,12*5)</f>
        <v>46895</v>
      </c>
    </row>
    <row r="114" spans="1:11" x14ac:dyDescent="0.25">
      <c r="A114" s="6">
        <v>24916976</v>
      </c>
      <c r="B114" s="17" t="s">
        <v>392</v>
      </c>
      <c r="C114" s="17" t="s">
        <v>393</v>
      </c>
      <c r="D114" s="6" t="s">
        <v>362</v>
      </c>
      <c r="E114" s="4" t="s">
        <v>394</v>
      </c>
      <c r="F114" s="12">
        <v>43891</v>
      </c>
      <c r="G114" s="59">
        <v>45363</v>
      </c>
      <c r="H114" s="46">
        <v>45783</v>
      </c>
      <c r="I114" s="11">
        <f t="shared" ca="1" si="8"/>
        <v>28</v>
      </c>
      <c r="J114" s="59">
        <f>EDATE(G114-1,60)</f>
        <v>47188</v>
      </c>
      <c r="K114" s="9">
        <f>EDATE(H114-1,12*5)</f>
        <v>47608</v>
      </c>
    </row>
    <row r="115" spans="1:11" x14ac:dyDescent="0.25">
      <c r="A115" s="6">
        <v>24908955</v>
      </c>
      <c r="B115" s="17" t="s">
        <v>395</v>
      </c>
      <c r="C115" s="17" t="s">
        <v>396</v>
      </c>
      <c r="D115" s="6" t="s">
        <v>266</v>
      </c>
      <c r="E115" s="4" t="s">
        <v>397</v>
      </c>
      <c r="F115" s="12">
        <v>40948</v>
      </c>
      <c r="G115" s="59">
        <v>45197</v>
      </c>
      <c r="H115" s="46">
        <v>45327</v>
      </c>
      <c r="I115" s="11">
        <f t="shared" ca="1" si="8"/>
        <v>37</v>
      </c>
      <c r="J115" s="59">
        <f>EDATE(G115-1,60)</f>
        <v>47023</v>
      </c>
      <c r="K115" s="9">
        <f>EDATE(H115-1,12*5)</f>
        <v>47153</v>
      </c>
    </row>
    <row r="116" spans="1:11" x14ac:dyDescent="0.25">
      <c r="A116" s="6">
        <v>92492460</v>
      </c>
      <c r="B116" s="17" t="s">
        <v>398</v>
      </c>
      <c r="C116" s="17" t="s">
        <v>399</v>
      </c>
      <c r="D116" s="6" t="s">
        <v>289</v>
      </c>
      <c r="E116" s="4" t="s">
        <v>400</v>
      </c>
      <c r="F116" s="12">
        <v>33215</v>
      </c>
      <c r="G116" s="61">
        <v>45909</v>
      </c>
      <c r="H116" s="46">
        <v>46213</v>
      </c>
      <c r="I116" s="11">
        <f t="shared" ca="1" si="8"/>
        <v>55</v>
      </c>
      <c r="J116" s="92">
        <f>EDATE(G116-1,12)</f>
        <v>46273</v>
      </c>
      <c r="K116" s="9">
        <f>EDATE(H116-1,12*5)</f>
        <v>48038</v>
      </c>
    </row>
    <row r="117" spans="1:11" x14ac:dyDescent="0.25">
      <c r="A117" s="6">
        <v>92290288</v>
      </c>
      <c r="B117" s="17" t="s">
        <v>401</v>
      </c>
      <c r="C117" s="17" t="s">
        <v>402</v>
      </c>
      <c r="D117" s="6" t="s">
        <v>242</v>
      </c>
      <c r="E117" s="12">
        <v>25011</v>
      </c>
      <c r="F117" s="12">
        <v>36048</v>
      </c>
      <c r="G117" s="61">
        <v>46164</v>
      </c>
      <c r="H117" s="46">
        <v>45559</v>
      </c>
      <c r="I117" s="11">
        <f t="shared" ca="1" si="8"/>
        <v>58</v>
      </c>
      <c r="J117" s="92">
        <f>EDATE(G117-1,12)</f>
        <v>46528</v>
      </c>
      <c r="K117" s="9">
        <f>EDATE(H117-1,12*5)</f>
        <v>47384</v>
      </c>
    </row>
    <row r="118" spans="1:11" x14ac:dyDescent="0.25">
      <c r="A118" s="6">
        <v>92493579</v>
      </c>
      <c r="B118" s="17" t="s">
        <v>403</v>
      </c>
      <c r="C118" s="17" t="s">
        <v>404</v>
      </c>
      <c r="D118" s="6" t="s">
        <v>352</v>
      </c>
      <c r="E118" s="4" t="s">
        <v>405</v>
      </c>
      <c r="F118" s="12">
        <v>33521</v>
      </c>
      <c r="G118" s="59">
        <v>45888</v>
      </c>
      <c r="H118" s="46">
        <v>45056</v>
      </c>
      <c r="I118" s="2">
        <f t="shared" ca="1" si="8"/>
        <v>57</v>
      </c>
      <c r="J118" s="91">
        <f>EDATE(G118-1,12)</f>
        <v>46252</v>
      </c>
      <c r="K118" s="9">
        <f>EDATE(H118-1,12*5)</f>
        <v>46882</v>
      </c>
    </row>
    <row r="119" spans="1:11" x14ac:dyDescent="0.25">
      <c r="A119" s="6">
        <v>92493051</v>
      </c>
      <c r="B119" s="17" t="s">
        <v>406</v>
      </c>
      <c r="C119" s="17" t="s">
        <v>407</v>
      </c>
      <c r="D119" s="6" t="s">
        <v>297</v>
      </c>
      <c r="E119" s="4" t="s">
        <v>408</v>
      </c>
      <c r="F119" s="4" t="s">
        <v>77</v>
      </c>
      <c r="G119" s="61">
        <v>46119</v>
      </c>
      <c r="H119" s="46">
        <v>45056</v>
      </c>
      <c r="I119" s="11">
        <f t="shared" ca="1" si="8"/>
        <v>58</v>
      </c>
      <c r="J119" s="72">
        <f>EDATE(G119-1,12)</f>
        <v>46483</v>
      </c>
      <c r="K119" s="9">
        <f>EDATE(H119-1,12*5)</f>
        <v>46882</v>
      </c>
    </row>
    <row r="120" spans="1:11" x14ac:dyDescent="0.25">
      <c r="A120" s="6">
        <v>92492945</v>
      </c>
      <c r="B120" s="6" t="s">
        <v>409</v>
      </c>
      <c r="C120" s="6" t="s">
        <v>410</v>
      </c>
      <c r="D120" s="6" t="s">
        <v>411</v>
      </c>
      <c r="E120" s="4" t="s">
        <v>412</v>
      </c>
      <c r="F120" s="4" t="s">
        <v>413</v>
      </c>
      <c r="G120" s="59">
        <v>45908</v>
      </c>
      <c r="H120" s="46">
        <v>45740</v>
      </c>
      <c r="I120" s="11">
        <f t="shared" ca="1" si="8"/>
        <v>55</v>
      </c>
      <c r="J120" s="61">
        <f>EDATE(G120-1,12)</f>
        <v>46272</v>
      </c>
      <c r="K120" s="9">
        <f>EDATE(H120-1,12*5)</f>
        <v>47565</v>
      </c>
    </row>
    <row r="121" spans="1:11" x14ac:dyDescent="0.25">
      <c r="A121" s="6">
        <v>24900973</v>
      </c>
      <c r="B121" s="6" t="s">
        <v>414</v>
      </c>
      <c r="C121" s="6" t="s">
        <v>415</v>
      </c>
      <c r="D121" s="6" t="s">
        <v>411</v>
      </c>
      <c r="E121" s="12">
        <v>28855</v>
      </c>
      <c r="F121" s="4" t="s">
        <v>416</v>
      </c>
      <c r="G121" s="59">
        <v>45391</v>
      </c>
      <c r="H121" s="46">
        <v>45330</v>
      </c>
      <c r="I121" s="11">
        <f t="shared" ca="1" si="8"/>
        <v>47</v>
      </c>
      <c r="J121" s="59">
        <f>EDATE(G121-1,36)</f>
        <v>46485</v>
      </c>
      <c r="K121" s="9">
        <f>EDATE(H121-1,12*5)</f>
        <v>47156</v>
      </c>
    </row>
    <row r="122" spans="1:11" x14ac:dyDescent="0.25">
      <c r="A122" s="6">
        <v>24908333</v>
      </c>
      <c r="B122" s="6" t="s">
        <v>417</v>
      </c>
      <c r="C122" s="6" t="s">
        <v>418</v>
      </c>
      <c r="D122" s="6" t="s">
        <v>348</v>
      </c>
      <c r="E122" s="12">
        <v>31405</v>
      </c>
      <c r="F122" s="4" t="s">
        <v>419</v>
      </c>
      <c r="G122" s="59">
        <v>45726</v>
      </c>
      <c r="H122" s="84">
        <v>46205</v>
      </c>
      <c r="I122" s="11">
        <f t="shared" ca="1" si="8"/>
        <v>40</v>
      </c>
      <c r="J122" s="59">
        <f>EDATE(G122-1,60)</f>
        <v>47551</v>
      </c>
      <c r="K122" s="24">
        <f>EDATE(H122-1,12*5)</f>
        <v>48030</v>
      </c>
    </row>
    <row r="123" spans="1:11" x14ac:dyDescent="0.25">
      <c r="A123" s="6"/>
      <c r="B123" s="25"/>
      <c r="C123" s="17"/>
      <c r="D123" s="6"/>
      <c r="E123" s="12"/>
      <c r="F123" s="4"/>
      <c r="G123" s="59"/>
      <c r="H123" s="46"/>
      <c r="I123" s="11"/>
      <c r="J123" s="92"/>
      <c r="K123" s="9"/>
    </row>
    <row r="124" spans="1:11" x14ac:dyDescent="0.25">
      <c r="A124" s="6">
        <v>92494082</v>
      </c>
      <c r="B124" s="17" t="s">
        <v>420</v>
      </c>
      <c r="C124" s="17" t="s">
        <v>421</v>
      </c>
      <c r="D124" s="6" t="s">
        <v>348</v>
      </c>
      <c r="E124" s="12">
        <v>27534</v>
      </c>
      <c r="F124" s="12">
        <v>34997</v>
      </c>
      <c r="G124" s="59">
        <v>46136</v>
      </c>
      <c r="H124" s="46">
        <v>45337</v>
      </c>
      <c r="I124" s="11">
        <f t="shared" ca="1" si="8"/>
        <v>51</v>
      </c>
      <c r="J124" s="91">
        <f>EDATE(G124-1,36)</f>
        <v>47231</v>
      </c>
      <c r="K124" s="9">
        <f>EDATE(H124-1,12*5)</f>
        <v>47163</v>
      </c>
    </row>
    <row r="125" spans="1:11" x14ac:dyDescent="0.25">
      <c r="A125" s="6">
        <v>92290323</v>
      </c>
      <c r="B125" s="17" t="s">
        <v>422</v>
      </c>
      <c r="C125" s="17" t="s">
        <v>354</v>
      </c>
      <c r="D125" s="23" t="s">
        <v>372</v>
      </c>
      <c r="E125" s="4" t="s">
        <v>423</v>
      </c>
      <c r="F125" s="4" t="s">
        <v>424</v>
      </c>
      <c r="G125" s="59">
        <v>46035</v>
      </c>
      <c r="H125" s="46">
        <v>45862</v>
      </c>
      <c r="I125" s="11">
        <f t="shared" ca="1" si="8"/>
        <v>50</v>
      </c>
      <c r="J125" s="72">
        <f>EDATE(G125-1,36)</f>
        <v>47130</v>
      </c>
      <c r="K125" s="9">
        <f>EDATE(H125-1,12*5)</f>
        <v>47687</v>
      </c>
    </row>
    <row r="126" spans="1:11" x14ac:dyDescent="0.25">
      <c r="A126" s="6">
        <v>24913108</v>
      </c>
      <c r="B126" s="6" t="s">
        <v>425</v>
      </c>
      <c r="C126" s="6" t="s">
        <v>426</v>
      </c>
      <c r="D126" s="23" t="s">
        <v>372</v>
      </c>
      <c r="E126" s="4" t="s">
        <v>427</v>
      </c>
      <c r="F126" s="4" t="s">
        <v>428</v>
      </c>
      <c r="G126" s="59">
        <v>45688</v>
      </c>
      <c r="H126" s="46">
        <v>45782</v>
      </c>
      <c r="I126" s="11">
        <f t="shared" ca="1" si="8"/>
        <v>37</v>
      </c>
      <c r="J126" s="59">
        <f>EDATE(G126-1,60)</f>
        <v>47513</v>
      </c>
      <c r="K126" s="9">
        <f>EDATE(H126-1,12*5)</f>
        <v>47607</v>
      </c>
    </row>
    <row r="127" spans="1:11" x14ac:dyDescent="0.25">
      <c r="A127" s="6">
        <v>92493069</v>
      </c>
      <c r="B127" s="17" t="s">
        <v>429</v>
      </c>
      <c r="C127" s="17" t="s">
        <v>430</v>
      </c>
      <c r="D127" s="6" t="s">
        <v>352</v>
      </c>
      <c r="E127" s="12">
        <v>24597</v>
      </c>
      <c r="F127" s="12">
        <v>34522</v>
      </c>
      <c r="G127" s="61">
        <v>46217</v>
      </c>
      <c r="H127" s="46">
        <v>45838</v>
      </c>
      <c r="I127" s="11">
        <f t="shared" ca="1" si="8"/>
        <v>59</v>
      </c>
      <c r="J127" s="61">
        <f>EDATE(G127-1,12)</f>
        <v>46581</v>
      </c>
      <c r="K127" s="9">
        <f>EDATE(H127-1,12*5)</f>
        <v>47663</v>
      </c>
    </row>
    <row r="128" spans="1:11" x14ac:dyDescent="0.25">
      <c r="A128" s="6">
        <v>92289322</v>
      </c>
      <c r="B128" s="17" t="s">
        <v>431</v>
      </c>
      <c r="C128" s="17" t="s">
        <v>432</v>
      </c>
      <c r="D128" s="6" t="s">
        <v>352</v>
      </c>
      <c r="E128" s="12">
        <v>24735</v>
      </c>
      <c r="F128" s="12">
        <v>32793</v>
      </c>
      <c r="G128" s="61">
        <v>46150</v>
      </c>
      <c r="H128" s="46">
        <v>46114</v>
      </c>
      <c r="I128" s="11">
        <f t="shared" ca="1" si="8"/>
        <v>58</v>
      </c>
      <c r="J128" s="61">
        <f>EDATE(G128-1,12)</f>
        <v>46514</v>
      </c>
      <c r="K128" s="9">
        <f>EDATE(H128-1,12*5)</f>
        <v>47939</v>
      </c>
    </row>
    <row r="129" spans="1:11" x14ac:dyDescent="0.25">
      <c r="A129" s="6">
        <v>92289575</v>
      </c>
      <c r="B129" s="17" t="s">
        <v>433</v>
      </c>
      <c r="C129" s="17" t="s">
        <v>434</v>
      </c>
      <c r="D129" s="6" t="s">
        <v>289</v>
      </c>
      <c r="E129" s="4" t="s">
        <v>435</v>
      </c>
      <c r="F129" s="12">
        <v>36251</v>
      </c>
      <c r="G129" s="61">
        <v>45849</v>
      </c>
      <c r="H129" s="46">
        <v>44697</v>
      </c>
      <c r="I129" s="2">
        <f t="shared" ca="1" si="8"/>
        <v>52</v>
      </c>
      <c r="J129" s="61">
        <f>EDATE(G129-1,12)</f>
        <v>46213</v>
      </c>
      <c r="K129" s="9">
        <f>EDATE(H129-1,12*5)</f>
        <v>46522</v>
      </c>
    </row>
    <row r="130" spans="1:11" x14ac:dyDescent="0.25">
      <c r="A130" s="6">
        <v>92303262</v>
      </c>
      <c r="B130" s="17" t="s">
        <v>436</v>
      </c>
      <c r="C130" s="17" t="s">
        <v>244</v>
      </c>
      <c r="D130" s="6" t="s">
        <v>277</v>
      </c>
      <c r="E130" s="12">
        <v>25572</v>
      </c>
      <c r="F130" s="4" t="s">
        <v>437</v>
      </c>
      <c r="G130" s="61">
        <v>45898</v>
      </c>
      <c r="H130" s="46">
        <v>45441</v>
      </c>
      <c r="I130" s="2">
        <f t="shared" ca="1" si="8"/>
        <v>56</v>
      </c>
      <c r="J130" s="92">
        <f>EDATE(G130-1,12)</f>
        <v>46262</v>
      </c>
      <c r="K130" s="9">
        <f>EDATE(H130-1,12*5)</f>
        <v>47266</v>
      </c>
    </row>
    <row r="131" spans="1:11" x14ac:dyDescent="0.25">
      <c r="A131" s="6">
        <v>92493342</v>
      </c>
      <c r="B131" s="17" t="s">
        <v>438</v>
      </c>
      <c r="C131" s="17" t="s">
        <v>439</v>
      </c>
      <c r="D131" s="6" t="s">
        <v>277</v>
      </c>
      <c r="E131" s="12" t="s">
        <v>440</v>
      </c>
      <c r="F131" s="12">
        <v>33735</v>
      </c>
      <c r="G131" s="59">
        <v>46097</v>
      </c>
      <c r="H131" s="46">
        <v>45071</v>
      </c>
      <c r="I131" s="11">
        <f t="shared" ca="1" si="8"/>
        <v>56</v>
      </c>
      <c r="J131" s="59">
        <f>EDATE(G131-1,12)</f>
        <v>46461</v>
      </c>
      <c r="K131" s="9">
        <f>EDATE(H131-1,12*5)</f>
        <v>46897</v>
      </c>
    </row>
    <row r="132" spans="1:11" x14ac:dyDescent="0.25">
      <c r="A132" s="6">
        <v>92494241</v>
      </c>
      <c r="B132" s="17" t="s">
        <v>441</v>
      </c>
      <c r="C132" s="17" t="s">
        <v>442</v>
      </c>
      <c r="D132" s="6" t="s">
        <v>277</v>
      </c>
      <c r="E132" s="4" t="s">
        <v>443</v>
      </c>
      <c r="F132" s="4" t="s">
        <v>444</v>
      </c>
      <c r="G132" s="61">
        <v>46105</v>
      </c>
      <c r="H132" s="46">
        <v>44620</v>
      </c>
      <c r="I132" s="11">
        <f t="shared" ca="1" si="8"/>
        <v>59</v>
      </c>
      <c r="J132" s="72">
        <f t="shared" ref="J132:J138" si="9">EDATE(G132-1,12)</f>
        <v>46469</v>
      </c>
      <c r="K132" s="9">
        <f>EDATE(H132-1,12*5)</f>
        <v>46445</v>
      </c>
    </row>
    <row r="133" spans="1:11" x14ac:dyDescent="0.25">
      <c r="A133" s="6">
        <v>92304497</v>
      </c>
      <c r="B133" s="17" t="s">
        <v>445</v>
      </c>
      <c r="C133" s="17" t="s">
        <v>446</v>
      </c>
      <c r="D133" s="6" t="s">
        <v>124</v>
      </c>
      <c r="E133" s="4" t="s">
        <v>447</v>
      </c>
      <c r="F133" s="4" t="s">
        <v>444</v>
      </c>
      <c r="G133" s="59">
        <v>46035</v>
      </c>
      <c r="H133" s="46">
        <v>45534</v>
      </c>
      <c r="I133" s="11">
        <f t="shared" ca="1" si="8"/>
        <v>57</v>
      </c>
      <c r="J133" s="72">
        <f t="shared" si="9"/>
        <v>46399</v>
      </c>
      <c r="K133" s="9">
        <f>EDATE(H133-1,12*5)</f>
        <v>47359</v>
      </c>
    </row>
    <row r="134" spans="1:11" x14ac:dyDescent="0.25">
      <c r="A134" s="6">
        <v>92492962</v>
      </c>
      <c r="B134" s="17" t="s">
        <v>448</v>
      </c>
      <c r="C134" s="17" t="s">
        <v>296</v>
      </c>
      <c r="D134" s="6" t="s">
        <v>124</v>
      </c>
      <c r="E134" s="12">
        <v>25292</v>
      </c>
      <c r="F134" s="4" t="s">
        <v>449</v>
      </c>
      <c r="G134" s="59">
        <v>46071</v>
      </c>
      <c r="H134" s="46">
        <v>45526</v>
      </c>
      <c r="I134" s="11">
        <f t="shared" ca="1" si="8"/>
        <v>57</v>
      </c>
      <c r="J134" s="72">
        <f t="shared" si="9"/>
        <v>46435</v>
      </c>
      <c r="K134" s="9">
        <f>EDATE(H134-1,12*5)</f>
        <v>47351</v>
      </c>
    </row>
    <row r="135" spans="1:11" x14ac:dyDescent="0.25">
      <c r="A135" s="6">
        <v>92493000</v>
      </c>
      <c r="B135" s="17" t="s">
        <v>450</v>
      </c>
      <c r="C135" s="17" t="s">
        <v>451</v>
      </c>
      <c r="D135" s="6" t="s">
        <v>124</v>
      </c>
      <c r="E135" s="12">
        <v>24873</v>
      </c>
      <c r="F135" s="4" t="s">
        <v>452</v>
      </c>
      <c r="G135" s="59">
        <v>46069</v>
      </c>
      <c r="H135" s="46">
        <v>45475</v>
      </c>
      <c r="I135" s="11">
        <f t="shared" ca="1" si="8"/>
        <v>58</v>
      </c>
      <c r="J135" s="59">
        <f t="shared" si="9"/>
        <v>46433</v>
      </c>
      <c r="K135" s="9">
        <f>EDATE(H135-1,12*5)</f>
        <v>47300</v>
      </c>
    </row>
    <row r="136" spans="1:11" x14ac:dyDescent="0.25">
      <c r="A136" s="6">
        <v>92290921</v>
      </c>
      <c r="B136" s="17" t="s">
        <v>453</v>
      </c>
      <c r="C136" s="17" t="s">
        <v>454</v>
      </c>
      <c r="D136" s="6" t="s">
        <v>348</v>
      </c>
      <c r="E136" s="12">
        <v>26991</v>
      </c>
      <c r="F136" s="12">
        <v>36361</v>
      </c>
      <c r="G136" s="59">
        <v>46036</v>
      </c>
      <c r="H136" s="46">
        <v>45075</v>
      </c>
      <c r="I136" s="11">
        <f t="shared" ca="1" si="8"/>
        <v>52</v>
      </c>
      <c r="J136" s="72">
        <f t="shared" si="9"/>
        <v>46400</v>
      </c>
      <c r="K136" s="9">
        <f>EDATE(H136-1,12*5)</f>
        <v>46901</v>
      </c>
    </row>
    <row r="137" spans="1:11" x14ac:dyDescent="0.25">
      <c r="A137" s="6">
        <v>92304366</v>
      </c>
      <c r="B137" s="17" t="s">
        <v>168</v>
      </c>
      <c r="C137" s="17" t="s">
        <v>455</v>
      </c>
      <c r="D137" s="6" t="s">
        <v>321</v>
      </c>
      <c r="E137" s="4" t="s">
        <v>456</v>
      </c>
      <c r="F137" s="12">
        <v>32547</v>
      </c>
      <c r="G137" s="59">
        <v>46115</v>
      </c>
      <c r="H137" s="46">
        <v>45065</v>
      </c>
      <c r="I137" s="11">
        <f t="shared" ca="1" si="8"/>
        <v>56</v>
      </c>
      <c r="J137" s="72">
        <f t="shared" si="9"/>
        <v>46479</v>
      </c>
      <c r="K137" s="9">
        <f>EDATE(H137-1,12*5)</f>
        <v>46891</v>
      </c>
    </row>
    <row r="138" spans="1:11" x14ac:dyDescent="0.25">
      <c r="A138" s="6">
        <v>92303966</v>
      </c>
      <c r="B138" s="17" t="s">
        <v>457</v>
      </c>
      <c r="C138" s="17" t="s">
        <v>458</v>
      </c>
      <c r="D138" s="6" t="s">
        <v>124</v>
      </c>
      <c r="E138" s="12">
        <v>25207</v>
      </c>
      <c r="F138" s="12">
        <v>32201</v>
      </c>
      <c r="G138" s="59">
        <v>45905</v>
      </c>
      <c r="H138" s="46">
        <v>45740</v>
      </c>
      <c r="I138" s="11">
        <f t="shared" ca="1" si="8"/>
        <v>57</v>
      </c>
      <c r="J138" s="92">
        <f t="shared" si="9"/>
        <v>46269</v>
      </c>
      <c r="K138" s="9">
        <f>EDATE(H138-1,12*5)</f>
        <v>47565</v>
      </c>
    </row>
    <row r="139" spans="1:11" x14ac:dyDescent="0.25">
      <c r="A139" s="6">
        <v>24901608</v>
      </c>
      <c r="B139" s="5" t="s">
        <v>459</v>
      </c>
      <c r="C139" s="6" t="s">
        <v>460</v>
      </c>
      <c r="D139" s="6" t="s">
        <v>266</v>
      </c>
      <c r="E139" s="12">
        <v>28731</v>
      </c>
      <c r="F139" s="12">
        <v>38111</v>
      </c>
      <c r="G139" s="63">
        <v>45772</v>
      </c>
      <c r="H139" s="64">
        <v>45524</v>
      </c>
      <c r="I139" s="11">
        <f t="shared" ca="1" si="8"/>
        <v>47</v>
      </c>
      <c r="J139" s="61">
        <f>EDATE(G139-1,36)</f>
        <v>46867</v>
      </c>
      <c r="K139" s="9">
        <f>EDATE(H139-1,12*5)</f>
        <v>47349</v>
      </c>
    </row>
    <row r="140" spans="1:11" x14ac:dyDescent="0.25">
      <c r="A140" s="6">
        <v>92404070</v>
      </c>
      <c r="B140" s="17" t="s">
        <v>461</v>
      </c>
      <c r="C140" s="17" t="s">
        <v>462</v>
      </c>
      <c r="D140" s="6" t="s">
        <v>242</v>
      </c>
      <c r="E140" s="4" t="s">
        <v>463</v>
      </c>
      <c r="F140" s="12">
        <v>34311</v>
      </c>
      <c r="G140" s="59">
        <v>46036</v>
      </c>
      <c r="H140" s="46">
        <v>46093</v>
      </c>
      <c r="I140" s="11">
        <f t="shared" ca="1" si="8"/>
        <v>54</v>
      </c>
      <c r="J140" s="72">
        <f>EDATE(G140-1,12)</f>
        <v>46400</v>
      </c>
      <c r="K140" s="9">
        <f>EDATE(H140-1,12*5)</f>
        <v>47918</v>
      </c>
    </row>
    <row r="141" spans="1:11" x14ac:dyDescent="0.25">
      <c r="A141" s="6">
        <v>92492946</v>
      </c>
      <c r="B141" s="17" t="s">
        <v>464</v>
      </c>
      <c r="C141" s="17" t="s">
        <v>465</v>
      </c>
      <c r="D141" s="6" t="s">
        <v>124</v>
      </c>
      <c r="E141" s="12">
        <v>24477</v>
      </c>
      <c r="F141" s="4" t="s">
        <v>466</v>
      </c>
      <c r="G141" s="59">
        <v>46072</v>
      </c>
      <c r="H141" s="46">
        <v>44417</v>
      </c>
      <c r="I141" s="11">
        <f t="shared" ca="1" si="8"/>
        <v>59</v>
      </c>
      <c r="J141" s="59">
        <f>EDATE(G141-1,12)</f>
        <v>46436</v>
      </c>
      <c r="K141" s="9">
        <f>EDATE(H141-1,12*5)</f>
        <v>46242</v>
      </c>
    </row>
    <row r="142" spans="1:11" x14ac:dyDescent="0.25">
      <c r="A142" s="6">
        <v>24904478</v>
      </c>
      <c r="B142" s="17" t="s">
        <v>467</v>
      </c>
      <c r="C142" s="17" t="s">
        <v>468</v>
      </c>
      <c r="D142" s="6" t="s">
        <v>242</v>
      </c>
      <c r="E142" s="4" t="s">
        <v>469</v>
      </c>
      <c r="F142" s="12">
        <v>39455</v>
      </c>
      <c r="G142" s="59">
        <v>44481</v>
      </c>
      <c r="H142" s="46">
        <v>45346</v>
      </c>
      <c r="I142" s="11">
        <f t="shared" ca="1" si="8"/>
        <v>39</v>
      </c>
      <c r="J142" s="59">
        <f>EDATE(G142-1,60)</f>
        <v>46306</v>
      </c>
      <c r="K142" s="9">
        <f>EDATE(H142-1,12*5)</f>
        <v>47172</v>
      </c>
    </row>
    <row r="143" spans="1:11" x14ac:dyDescent="0.25">
      <c r="A143" s="6">
        <v>22643605</v>
      </c>
      <c r="B143" s="17" t="s">
        <v>470</v>
      </c>
      <c r="C143" s="17" t="s">
        <v>471</v>
      </c>
      <c r="D143" s="6" t="s">
        <v>309</v>
      </c>
      <c r="E143" s="4" t="s">
        <v>472</v>
      </c>
      <c r="F143" s="4" t="s">
        <v>473</v>
      </c>
      <c r="G143" s="61">
        <v>45390</v>
      </c>
      <c r="H143" s="46">
        <v>45733</v>
      </c>
      <c r="I143" s="11">
        <f t="shared" ca="1" si="8"/>
        <v>45</v>
      </c>
      <c r="J143" s="91">
        <f>EDATE(G143-1,60)</f>
        <v>47215</v>
      </c>
      <c r="K143" s="9">
        <f>EDATE(H143-1,12*5)</f>
        <v>47558</v>
      </c>
    </row>
    <row r="144" spans="1:11" x14ac:dyDescent="0.25">
      <c r="A144" s="6">
        <v>24900976</v>
      </c>
      <c r="B144" s="21" t="s">
        <v>74</v>
      </c>
      <c r="C144" s="17" t="s">
        <v>474</v>
      </c>
      <c r="D144" s="6" t="s">
        <v>475</v>
      </c>
      <c r="E144" s="12">
        <v>27343</v>
      </c>
      <c r="F144" s="4" t="s">
        <v>476</v>
      </c>
      <c r="G144" s="59">
        <v>45909</v>
      </c>
      <c r="H144" s="46">
        <v>45152</v>
      </c>
      <c r="I144" s="11">
        <f t="shared" ca="1" si="8"/>
        <v>51</v>
      </c>
      <c r="J144" s="59">
        <f>EDATE(G144-1,36)</f>
        <v>47004</v>
      </c>
      <c r="K144" s="9">
        <f>EDATE(H144-1,12*5)</f>
        <v>46978</v>
      </c>
    </row>
    <row r="145" spans="1:11" x14ac:dyDescent="0.25">
      <c r="A145" s="6">
        <v>92404000</v>
      </c>
      <c r="B145" s="17" t="s">
        <v>11</v>
      </c>
      <c r="C145" s="17" t="s">
        <v>477</v>
      </c>
      <c r="D145" s="6" t="s">
        <v>124</v>
      </c>
      <c r="E145" s="4" t="s">
        <v>478</v>
      </c>
      <c r="F145" s="12" t="s">
        <v>479</v>
      </c>
      <c r="G145" s="61">
        <v>46132</v>
      </c>
      <c r="H145" s="46">
        <v>46116</v>
      </c>
      <c r="I145" s="11">
        <f t="shared" ca="1" si="8"/>
        <v>55</v>
      </c>
      <c r="J145" s="72">
        <f>EDATE(G145-1,12)</f>
        <v>46496</v>
      </c>
      <c r="K145" s="9">
        <f>EDATE(H145-1,12*5)</f>
        <v>47941</v>
      </c>
    </row>
    <row r="146" spans="1:11" x14ac:dyDescent="0.25">
      <c r="A146" s="6"/>
      <c r="B146" s="17"/>
      <c r="C146" s="17"/>
      <c r="D146" s="6"/>
      <c r="E146" s="4"/>
      <c r="F146" s="4"/>
      <c r="G146" s="59"/>
      <c r="H146" s="46"/>
      <c r="I146" s="11"/>
      <c r="J146" s="72"/>
      <c r="K146" s="9"/>
    </row>
    <row r="147" spans="1:11" x14ac:dyDescent="0.25">
      <c r="A147" s="6">
        <v>92493079</v>
      </c>
      <c r="B147" s="17" t="s">
        <v>480</v>
      </c>
      <c r="C147" s="17" t="s">
        <v>481</v>
      </c>
      <c r="D147" s="6" t="s">
        <v>333</v>
      </c>
      <c r="E147" s="12">
        <v>27860</v>
      </c>
      <c r="F147" s="12">
        <v>34676</v>
      </c>
      <c r="G147" s="59">
        <v>45330</v>
      </c>
      <c r="H147" s="46">
        <v>45156</v>
      </c>
      <c r="I147" s="11">
        <f t="shared" ca="1" si="8"/>
        <v>50</v>
      </c>
      <c r="J147" s="59">
        <f>EDATE(G147-1,36)</f>
        <v>46425</v>
      </c>
      <c r="K147" s="9">
        <f>EDATE(H147-1,12*5)</f>
        <v>46982</v>
      </c>
    </row>
    <row r="148" spans="1:11" x14ac:dyDescent="0.25">
      <c r="A148" s="6">
        <v>24901337</v>
      </c>
      <c r="B148" s="17" t="s">
        <v>482</v>
      </c>
      <c r="C148" s="17" t="s">
        <v>483</v>
      </c>
      <c r="D148" s="6" t="s">
        <v>333</v>
      </c>
      <c r="E148" s="12">
        <v>27553</v>
      </c>
      <c r="F148" s="4" t="s">
        <v>484</v>
      </c>
      <c r="G148" s="59">
        <v>45131</v>
      </c>
      <c r="H148" s="46">
        <v>45762</v>
      </c>
      <c r="I148" s="2">
        <f t="shared" ca="1" si="8"/>
        <v>51</v>
      </c>
      <c r="J148" s="59">
        <f>EDATE(G148-1,36)</f>
        <v>46226</v>
      </c>
      <c r="K148" s="9">
        <f>EDATE(H148-1,12*5)</f>
        <v>47587</v>
      </c>
    </row>
    <row r="149" spans="1:11" x14ac:dyDescent="0.25">
      <c r="A149" s="6">
        <v>92493626</v>
      </c>
      <c r="B149" s="17" t="s">
        <v>485</v>
      </c>
      <c r="C149" s="17" t="s">
        <v>486</v>
      </c>
      <c r="D149" s="6" t="s">
        <v>352</v>
      </c>
      <c r="E149" s="12">
        <v>26547</v>
      </c>
      <c r="F149" s="12">
        <v>35097</v>
      </c>
      <c r="G149" s="59">
        <v>46176</v>
      </c>
      <c r="H149" s="46">
        <v>45757</v>
      </c>
      <c r="I149" s="11">
        <f t="shared" ca="1" si="8"/>
        <v>53</v>
      </c>
      <c r="J149" s="72">
        <f t="shared" ref="J149:J158" si="10">EDATE(G149-1,12)</f>
        <v>46540</v>
      </c>
      <c r="K149" s="9">
        <f>EDATE(H149-1,12*5)</f>
        <v>47582</v>
      </c>
    </row>
    <row r="150" spans="1:11" x14ac:dyDescent="0.25">
      <c r="A150" s="6">
        <v>92493003</v>
      </c>
      <c r="B150" s="17" t="s">
        <v>487</v>
      </c>
      <c r="C150" s="17" t="s">
        <v>488</v>
      </c>
      <c r="D150" s="6" t="s">
        <v>333</v>
      </c>
      <c r="E150" s="12">
        <v>26054</v>
      </c>
      <c r="F150" s="4" t="s">
        <v>489</v>
      </c>
      <c r="G150" s="59">
        <v>46156</v>
      </c>
      <c r="H150" s="46">
        <v>45322</v>
      </c>
      <c r="I150" s="11">
        <f t="shared" ca="1" si="8"/>
        <v>55</v>
      </c>
      <c r="J150" s="59">
        <f t="shared" si="10"/>
        <v>46520</v>
      </c>
      <c r="K150" s="9">
        <f>EDATE(H150-1,12*5)</f>
        <v>47148</v>
      </c>
    </row>
    <row r="151" spans="1:11" x14ac:dyDescent="0.25">
      <c r="A151" s="6">
        <v>92492960</v>
      </c>
      <c r="B151" s="17" t="s">
        <v>490</v>
      </c>
      <c r="C151" s="17" t="s">
        <v>491</v>
      </c>
      <c r="D151" s="6" t="s">
        <v>352</v>
      </c>
      <c r="E151" s="4" t="s">
        <v>492</v>
      </c>
      <c r="F151" s="4" t="s">
        <v>449</v>
      </c>
      <c r="G151" s="61">
        <v>46146</v>
      </c>
      <c r="H151" s="46">
        <v>45512</v>
      </c>
      <c r="I151" s="11">
        <f t="shared" ca="1" si="8"/>
        <v>59</v>
      </c>
      <c r="J151" s="92">
        <f t="shared" si="10"/>
        <v>46510</v>
      </c>
      <c r="K151" s="9">
        <f>EDATE(H151-1,12*5)</f>
        <v>47337</v>
      </c>
    </row>
    <row r="152" spans="1:11" x14ac:dyDescent="0.25">
      <c r="A152" s="6">
        <v>92290458</v>
      </c>
      <c r="B152" s="17" t="s">
        <v>493</v>
      </c>
      <c r="C152" s="17" t="s">
        <v>494</v>
      </c>
      <c r="D152" s="6" t="s">
        <v>336</v>
      </c>
      <c r="E152" s="12">
        <v>24476</v>
      </c>
      <c r="F152" s="12">
        <v>33337</v>
      </c>
      <c r="G152" s="61">
        <v>46119</v>
      </c>
      <c r="H152" s="46">
        <v>45381</v>
      </c>
      <c r="I152" s="11">
        <f t="shared" ca="1" si="8"/>
        <v>59</v>
      </c>
      <c r="J152" s="59">
        <f t="shared" si="10"/>
        <v>46483</v>
      </c>
      <c r="K152" s="9">
        <f>EDATE(H152-1,12*5)</f>
        <v>47206</v>
      </c>
    </row>
    <row r="153" spans="1:11" x14ac:dyDescent="0.25">
      <c r="A153" s="6">
        <v>92493367</v>
      </c>
      <c r="B153" s="17" t="s">
        <v>495</v>
      </c>
      <c r="C153" s="17" t="s">
        <v>496</v>
      </c>
      <c r="D153" s="6" t="s">
        <v>333</v>
      </c>
      <c r="E153" s="4" t="s">
        <v>497</v>
      </c>
      <c r="F153" s="4" t="s">
        <v>498</v>
      </c>
      <c r="G153" s="59">
        <v>46037</v>
      </c>
      <c r="H153" s="46">
        <v>45710</v>
      </c>
      <c r="I153" s="11">
        <f t="shared" ca="1" si="8"/>
        <v>57</v>
      </c>
      <c r="J153" s="72">
        <f t="shared" si="10"/>
        <v>46401</v>
      </c>
      <c r="K153" s="9">
        <f>EDATE(H153-1,12*5)</f>
        <v>47535</v>
      </c>
    </row>
    <row r="154" spans="1:11" x14ac:dyDescent="0.25">
      <c r="A154" s="6">
        <v>92492461</v>
      </c>
      <c r="B154" s="17" t="s">
        <v>11</v>
      </c>
      <c r="C154" s="17" t="s">
        <v>499</v>
      </c>
      <c r="D154" s="6" t="s">
        <v>124</v>
      </c>
      <c r="E154" s="4" t="s">
        <v>500</v>
      </c>
      <c r="F154" s="12">
        <v>33215</v>
      </c>
      <c r="G154" s="59">
        <v>45926</v>
      </c>
      <c r="H154" s="46">
        <v>44681</v>
      </c>
      <c r="I154" s="11">
        <f t="shared" ca="1" si="8"/>
        <v>54</v>
      </c>
      <c r="J154" s="91">
        <f t="shared" si="10"/>
        <v>46290</v>
      </c>
      <c r="K154" s="9">
        <f>EDATE(H154-1,12*5)</f>
        <v>46506</v>
      </c>
    </row>
    <row r="155" spans="1:11" x14ac:dyDescent="0.25">
      <c r="A155" s="6">
        <v>92493044</v>
      </c>
      <c r="B155" s="17" t="s">
        <v>501</v>
      </c>
      <c r="C155" s="17" t="s">
        <v>502</v>
      </c>
      <c r="D155" s="6" t="s">
        <v>124</v>
      </c>
      <c r="E155" s="12">
        <v>24879</v>
      </c>
      <c r="F155" s="12">
        <v>34307</v>
      </c>
      <c r="G155" s="59">
        <v>45478</v>
      </c>
      <c r="H155" s="46">
        <v>45742</v>
      </c>
      <c r="I155" s="11">
        <f t="shared" ca="1" si="8"/>
        <v>58</v>
      </c>
      <c r="J155" s="72">
        <f t="shared" si="10"/>
        <v>45842</v>
      </c>
      <c r="K155" s="9">
        <f>EDATE(H155-1,12*5)</f>
        <v>47567</v>
      </c>
    </row>
    <row r="156" spans="1:11" x14ac:dyDescent="0.25">
      <c r="A156" s="6">
        <v>92493095</v>
      </c>
      <c r="B156" s="17" t="s">
        <v>503</v>
      </c>
      <c r="C156" s="17" t="s">
        <v>504</v>
      </c>
      <c r="D156" s="6" t="s">
        <v>124</v>
      </c>
      <c r="E156" s="12">
        <v>24878</v>
      </c>
      <c r="F156" s="12">
        <v>32722</v>
      </c>
      <c r="G156" s="64">
        <v>46076</v>
      </c>
      <c r="H156" s="80">
        <v>45062</v>
      </c>
      <c r="I156" s="11">
        <f t="shared" ca="1" si="8"/>
        <v>58</v>
      </c>
      <c r="J156" s="59">
        <f t="shared" si="10"/>
        <v>46440</v>
      </c>
      <c r="K156" s="9">
        <f>EDATE(H156-1,12*5)</f>
        <v>46888</v>
      </c>
    </row>
    <row r="157" spans="1:11" x14ac:dyDescent="0.25">
      <c r="A157" s="6">
        <v>92290613</v>
      </c>
      <c r="B157" s="17" t="s">
        <v>505</v>
      </c>
      <c r="C157" s="17" t="s">
        <v>85</v>
      </c>
      <c r="D157" s="6" t="s">
        <v>242</v>
      </c>
      <c r="E157" s="12">
        <v>25902</v>
      </c>
      <c r="F157" s="12">
        <v>36640</v>
      </c>
      <c r="G157" s="61">
        <v>46155</v>
      </c>
      <c r="H157" s="46">
        <v>45532</v>
      </c>
      <c r="I157" s="11">
        <f t="shared" ca="1" si="8"/>
        <v>55</v>
      </c>
      <c r="J157" s="61">
        <f t="shared" si="10"/>
        <v>46519</v>
      </c>
      <c r="K157" s="9">
        <f>EDATE(H157-1,12*5)</f>
        <v>47357</v>
      </c>
    </row>
    <row r="158" spans="1:11" x14ac:dyDescent="0.25">
      <c r="A158" s="6">
        <v>92493344</v>
      </c>
      <c r="B158" s="17" t="s">
        <v>70</v>
      </c>
      <c r="C158" s="17" t="s">
        <v>506</v>
      </c>
      <c r="D158" s="6" t="s">
        <v>336</v>
      </c>
      <c r="E158" s="12">
        <v>24719</v>
      </c>
      <c r="F158" s="4" t="s">
        <v>102</v>
      </c>
      <c r="G158" s="64">
        <v>46146</v>
      </c>
      <c r="H158" s="46">
        <v>45156</v>
      </c>
      <c r="I158" s="11">
        <f t="shared" ca="1" si="8"/>
        <v>58</v>
      </c>
      <c r="J158" s="59">
        <f t="shared" si="10"/>
        <v>46510</v>
      </c>
      <c r="K158" s="9">
        <f>EDATE(H158-1,12*5)</f>
        <v>46982</v>
      </c>
    </row>
    <row r="159" spans="1:11" x14ac:dyDescent="0.25">
      <c r="A159" s="6">
        <v>24911504</v>
      </c>
      <c r="B159" s="6" t="s">
        <v>507</v>
      </c>
      <c r="C159" s="6" t="s">
        <v>508</v>
      </c>
      <c r="D159" s="6" t="s">
        <v>362</v>
      </c>
      <c r="E159" s="4" t="s">
        <v>509</v>
      </c>
      <c r="F159" s="4" t="s">
        <v>510</v>
      </c>
      <c r="G159" s="59">
        <v>45532</v>
      </c>
      <c r="H159" s="46">
        <v>44748</v>
      </c>
      <c r="I159" s="11">
        <f t="shared" ca="1" si="8"/>
        <v>40</v>
      </c>
      <c r="J159" s="59">
        <f>EDATE(G159-1,60)</f>
        <v>47357</v>
      </c>
      <c r="K159" s="9">
        <f>EDATE(H159-1,12*5)</f>
        <v>46573</v>
      </c>
    </row>
    <row r="160" spans="1:11" x14ac:dyDescent="0.25">
      <c r="A160" s="6">
        <v>58002977</v>
      </c>
      <c r="B160" s="17" t="s">
        <v>353</v>
      </c>
      <c r="C160" s="17" t="s">
        <v>511</v>
      </c>
      <c r="D160" s="6" t="s">
        <v>362</v>
      </c>
      <c r="E160" s="12">
        <v>33055</v>
      </c>
      <c r="F160" s="12">
        <v>44795</v>
      </c>
      <c r="G160" s="65" t="s">
        <v>512</v>
      </c>
      <c r="H160" s="46">
        <v>44855</v>
      </c>
      <c r="I160" s="11">
        <f t="shared" ca="1" si="8"/>
        <v>36</v>
      </c>
      <c r="J160" s="77" t="s">
        <v>513</v>
      </c>
      <c r="K160" s="9">
        <f>EDATE(H160-1,12*5)</f>
        <v>46680</v>
      </c>
    </row>
    <row r="161" spans="1:11" x14ac:dyDescent="0.25">
      <c r="A161" s="6">
        <v>22747737</v>
      </c>
      <c r="B161" s="6" t="s">
        <v>514</v>
      </c>
      <c r="C161" s="6" t="s">
        <v>515</v>
      </c>
      <c r="D161" s="6" t="s">
        <v>362</v>
      </c>
      <c r="E161" s="4" t="s">
        <v>516</v>
      </c>
      <c r="F161" s="4" t="s">
        <v>517</v>
      </c>
      <c r="G161" s="59">
        <v>46170</v>
      </c>
      <c r="H161" s="46">
        <v>45776</v>
      </c>
      <c r="I161" s="11">
        <f t="shared" ca="1" si="8"/>
        <v>48</v>
      </c>
      <c r="J161" s="59">
        <f>EDATE(G161-1,36)</f>
        <v>47265</v>
      </c>
      <c r="K161" s="9">
        <f>EDATE(H161-1,12*5)</f>
        <v>47601</v>
      </c>
    </row>
    <row r="162" spans="1:11" x14ac:dyDescent="0.25">
      <c r="A162" s="6">
        <v>92493467</v>
      </c>
      <c r="B162" s="6" t="s">
        <v>518</v>
      </c>
      <c r="C162" s="6" t="s">
        <v>519</v>
      </c>
      <c r="D162" s="6" t="s">
        <v>362</v>
      </c>
      <c r="E162" s="4" t="s">
        <v>520</v>
      </c>
      <c r="F162" s="4" t="s">
        <v>521</v>
      </c>
      <c r="G162" s="59">
        <v>45209</v>
      </c>
      <c r="H162" s="46">
        <v>45365</v>
      </c>
      <c r="I162" s="11">
        <f t="shared" ca="1" si="8"/>
        <v>51</v>
      </c>
      <c r="J162" s="59">
        <f>EDATE(G162-1,36)</f>
        <v>46304</v>
      </c>
      <c r="K162" s="9">
        <f>EDATE(H162-1,12*5)</f>
        <v>47190</v>
      </c>
    </row>
    <row r="163" spans="1:11" x14ac:dyDescent="0.25">
      <c r="A163" s="26">
        <v>92493123</v>
      </c>
      <c r="B163" s="17" t="s">
        <v>522</v>
      </c>
      <c r="C163" s="17" t="s">
        <v>523</v>
      </c>
      <c r="D163" s="6" t="s">
        <v>362</v>
      </c>
      <c r="E163" s="12">
        <v>26704</v>
      </c>
      <c r="F163" s="12">
        <v>34118</v>
      </c>
      <c r="G163" s="59">
        <v>45894</v>
      </c>
      <c r="H163" s="46">
        <v>45771</v>
      </c>
      <c r="I163" s="2">
        <f t="shared" ca="1" si="8"/>
        <v>53</v>
      </c>
      <c r="J163" s="92">
        <f>EDATE(G163-1,12)</f>
        <v>46258</v>
      </c>
      <c r="K163" s="9">
        <f>EDATE(H163-1,12*5)</f>
        <v>47596</v>
      </c>
    </row>
    <row r="164" spans="1:11" x14ac:dyDescent="0.25">
      <c r="A164" s="6">
        <v>24912131</v>
      </c>
      <c r="B164" s="6" t="s">
        <v>524</v>
      </c>
      <c r="C164" s="6" t="s">
        <v>525</v>
      </c>
      <c r="D164" s="6" t="s">
        <v>362</v>
      </c>
      <c r="E164" s="12">
        <v>32183</v>
      </c>
      <c r="F164" s="12">
        <v>42182</v>
      </c>
      <c r="G164" s="59">
        <v>45055</v>
      </c>
      <c r="H164" s="46">
        <v>45784</v>
      </c>
      <c r="I164" s="11">
        <f t="shared" ca="1" si="8"/>
        <v>38</v>
      </c>
      <c r="J164" s="59">
        <f>EDATE(G164-1,60)</f>
        <v>46881</v>
      </c>
      <c r="K164" s="9">
        <f>EDATE(H164-1,12*5)</f>
        <v>47609</v>
      </c>
    </row>
    <row r="165" spans="1:11" x14ac:dyDescent="0.25">
      <c r="A165" s="6">
        <v>24912130</v>
      </c>
      <c r="B165" s="26" t="s">
        <v>526</v>
      </c>
      <c r="C165" s="6" t="s">
        <v>527</v>
      </c>
      <c r="D165" s="6" t="s">
        <v>362</v>
      </c>
      <c r="E165" s="12">
        <v>34798</v>
      </c>
      <c r="F165" s="4" t="s">
        <v>528</v>
      </c>
      <c r="G165" s="59">
        <v>45117</v>
      </c>
      <c r="H165" s="46">
        <v>45120</v>
      </c>
      <c r="I165" s="11">
        <f t="shared" ca="1" si="8"/>
        <v>31</v>
      </c>
      <c r="J165" s="59">
        <f>EDATE(G165-1,60)</f>
        <v>46943</v>
      </c>
      <c r="K165" s="9">
        <f>EDATE(H165-1,12*5)</f>
        <v>46946</v>
      </c>
    </row>
    <row r="166" spans="1:11" x14ac:dyDescent="0.25">
      <c r="A166" s="6">
        <v>92493117</v>
      </c>
      <c r="B166" s="6" t="s">
        <v>529</v>
      </c>
      <c r="C166" s="6" t="s">
        <v>530</v>
      </c>
      <c r="D166" s="6" t="s">
        <v>362</v>
      </c>
      <c r="E166" s="4" t="s">
        <v>531</v>
      </c>
      <c r="F166" s="4" t="s">
        <v>532</v>
      </c>
      <c r="G166" s="59">
        <v>46231</v>
      </c>
      <c r="H166" s="46">
        <v>45328</v>
      </c>
      <c r="I166" s="2">
        <f t="shared" ca="1" si="8"/>
        <v>48</v>
      </c>
      <c r="J166" s="59">
        <f>EDATE(G166-1,36)</f>
        <v>47326</v>
      </c>
      <c r="K166" s="9">
        <f>EDATE(H166-1,12*5)</f>
        <v>47154</v>
      </c>
    </row>
    <row r="167" spans="1:11" x14ac:dyDescent="0.25">
      <c r="A167" s="6">
        <v>92290181</v>
      </c>
      <c r="B167" s="6" t="s">
        <v>533</v>
      </c>
      <c r="C167" s="6" t="s">
        <v>534</v>
      </c>
      <c r="D167" s="6" t="s">
        <v>362</v>
      </c>
      <c r="E167" s="12">
        <v>27200</v>
      </c>
      <c r="F167" s="12">
        <v>33945</v>
      </c>
      <c r="G167" s="59">
        <v>45895</v>
      </c>
      <c r="H167" s="80">
        <v>45207</v>
      </c>
      <c r="I167" s="11">
        <f t="shared" ca="1" si="8"/>
        <v>52</v>
      </c>
      <c r="J167" s="59">
        <f>EDATE(G167-1,36)</f>
        <v>46990</v>
      </c>
      <c r="K167" s="9">
        <f>EDATE(H167-1,12*5)</f>
        <v>47033</v>
      </c>
    </row>
    <row r="168" spans="1:11" x14ac:dyDescent="0.25">
      <c r="A168" s="6">
        <v>58004239</v>
      </c>
      <c r="B168" s="17" t="s">
        <v>535</v>
      </c>
      <c r="C168" s="17" t="s">
        <v>536</v>
      </c>
      <c r="D168" s="6" t="s">
        <v>362</v>
      </c>
      <c r="E168" s="12">
        <v>36658</v>
      </c>
      <c r="F168" s="12">
        <v>44872</v>
      </c>
      <c r="G168" s="65" t="s">
        <v>513</v>
      </c>
      <c r="H168" s="46">
        <v>44925</v>
      </c>
      <c r="I168" s="11">
        <f t="shared" ca="1" si="8"/>
        <v>26</v>
      </c>
      <c r="J168" s="77" t="s">
        <v>513</v>
      </c>
      <c r="K168" s="9">
        <f>EDATE(H168-1,12*5)</f>
        <v>46750</v>
      </c>
    </row>
    <row r="169" spans="1:11" x14ac:dyDescent="0.25">
      <c r="A169" s="6">
        <v>58003871</v>
      </c>
      <c r="B169" s="17" t="s">
        <v>537</v>
      </c>
      <c r="C169" s="17" t="s">
        <v>538</v>
      </c>
      <c r="D169" s="6" t="s">
        <v>362</v>
      </c>
      <c r="E169" s="12">
        <v>32052</v>
      </c>
      <c r="F169" s="12">
        <v>44832</v>
      </c>
      <c r="G169" s="65" t="s">
        <v>513</v>
      </c>
      <c r="H169" s="46">
        <v>44896</v>
      </c>
      <c r="I169" s="11">
        <f t="shared" ca="1" si="8"/>
        <v>38</v>
      </c>
      <c r="J169" s="77" t="s">
        <v>513</v>
      </c>
      <c r="K169" s="9">
        <f>EDATE(H169-1,12*5)</f>
        <v>46721</v>
      </c>
    </row>
    <row r="170" spans="1:11" x14ac:dyDescent="0.25">
      <c r="A170" s="6">
        <v>58003872</v>
      </c>
      <c r="B170" s="17" t="s">
        <v>539</v>
      </c>
      <c r="C170" s="17" t="s">
        <v>540</v>
      </c>
      <c r="D170" s="6" t="s">
        <v>362</v>
      </c>
      <c r="E170" s="12">
        <v>35256</v>
      </c>
      <c r="F170" s="12">
        <v>44832</v>
      </c>
      <c r="G170" s="65" t="s">
        <v>513</v>
      </c>
      <c r="H170" s="46">
        <v>44893</v>
      </c>
      <c r="I170" s="11">
        <f t="shared" ca="1" si="8"/>
        <v>30</v>
      </c>
      <c r="J170" s="77" t="s">
        <v>513</v>
      </c>
      <c r="K170" s="9">
        <f>EDATE(H170-1,12*5)</f>
        <v>46718</v>
      </c>
    </row>
    <row r="171" spans="1:11" x14ac:dyDescent="0.25">
      <c r="A171" s="6">
        <v>92291239</v>
      </c>
      <c r="B171" s="6" t="s">
        <v>70</v>
      </c>
      <c r="C171" s="6" t="s">
        <v>541</v>
      </c>
      <c r="D171" s="6" t="s">
        <v>362</v>
      </c>
      <c r="E171" s="4" t="s">
        <v>542</v>
      </c>
      <c r="F171" s="4" t="s">
        <v>543</v>
      </c>
      <c r="G171" s="59">
        <v>45173</v>
      </c>
      <c r="H171" s="46">
        <v>45358</v>
      </c>
      <c r="I171" s="11">
        <f t="shared" ca="1" si="8"/>
        <v>48</v>
      </c>
      <c r="J171" s="59">
        <f>EDATE(G171-1,36)</f>
        <v>46268</v>
      </c>
      <c r="K171" s="9">
        <f>EDATE(H171-1,12*5)</f>
        <v>47183</v>
      </c>
    </row>
    <row r="172" spans="1:11" x14ac:dyDescent="0.25">
      <c r="A172" s="6">
        <v>24908480</v>
      </c>
      <c r="B172" s="6" t="s">
        <v>544</v>
      </c>
      <c r="C172" s="6" t="s">
        <v>545</v>
      </c>
      <c r="D172" s="6" t="s">
        <v>362</v>
      </c>
      <c r="E172" s="12">
        <v>29724</v>
      </c>
      <c r="F172" s="12">
        <v>40729</v>
      </c>
      <c r="G172" s="66"/>
      <c r="H172" s="46">
        <v>45490</v>
      </c>
      <c r="I172" s="11">
        <f t="shared" ca="1" si="8"/>
        <v>45</v>
      </c>
      <c r="J172" s="59" t="s">
        <v>513</v>
      </c>
      <c r="K172" s="9">
        <f>EDATE(H172-1,12*5)</f>
        <v>47315</v>
      </c>
    </row>
    <row r="173" spans="1:11" x14ac:dyDescent="0.25">
      <c r="A173" s="6">
        <v>24915328</v>
      </c>
      <c r="B173" s="6" t="s">
        <v>546</v>
      </c>
      <c r="C173" s="6" t="s">
        <v>547</v>
      </c>
      <c r="D173" s="6" t="s">
        <v>362</v>
      </c>
      <c r="E173" s="12">
        <v>31580</v>
      </c>
      <c r="F173" s="12">
        <v>43066</v>
      </c>
      <c r="G173" s="59">
        <v>45776</v>
      </c>
      <c r="H173" s="46">
        <v>45776</v>
      </c>
      <c r="I173" s="11">
        <f t="shared" ca="1" si="8"/>
        <v>40</v>
      </c>
      <c r="J173" s="59">
        <f>EDATE(G173-1,60)</f>
        <v>47601</v>
      </c>
      <c r="K173" s="9">
        <f>EDATE(H173-1,12*5)</f>
        <v>47601</v>
      </c>
    </row>
    <row r="174" spans="1:11" x14ac:dyDescent="0.25">
      <c r="A174" s="6">
        <v>58008034</v>
      </c>
      <c r="B174" s="17" t="s">
        <v>548</v>
      </c>
      <c r="C174" s="17" t="s">
        <v>549</v>
      </c>
      <c r="D174" s="6" t="s">
        <v>362</v>
      </c>
      <c r="E174" s="12">
        <v>31300</v>
      </c>
      <c r="F174" s="12">
        <v>45092</v>
      </c>
      <c r="G174" s="65" t="s">
        <v>513</v>
      </c>
      <c r="H174" s="46">
        <v>45276</v>
      </c>
      <c r="I174" s="11">
        <f t="shared" ca="1" si="8"/>
        <v>40</v>
      </c>
      <c r="J174" s="77" t="s">
        <v>513</v>
      </c>
      <c r="K174" s="9">
        <f>EDATE(H174-1,12*5)</f>
        <v>47102</v>
      </c>
    </row>
    <row r="175" spans="1:11" x14ac:dyDescent="0.25">
      <c r="A175" s="6">
        <v>58008061</v>
      </c>
      <c r="B175" s="17" t="s">
        <v>550</v>
      </c>
      <c r="C175" s="17" t="s">
        <v>551</v>
      </c>
      <c r="D175" s="6" t="s">
        <v>362</v>
      </c>
      <c r="E175" s="12">
        <v>30707</v>
      </c>
      <c r="F175" s="12">
        <v>45113</v>
      </c>
      <c r="G175" s="65" t="s">
        <v>513</v>
      </c>
      <c r="H175" s="46">
        <v>44858</v>
      </c>
      <c r="I175" s="11">
        <f t="shared" ca="1" si="8"/>
        <v>42</v>
      </c>
      <c r="J175" s="77" t="s">
        <v>513</v>
      </c>
      <c r="K175" s="9">
        <f>EDATE(H175-1,12*5)</f>
        <v>46683</v>
      </c>
    </row>
    <row r="176" spans="1:11" x14ac:dyDescent="0.25">
      <c r="A176" s="6">
        <v>92290509</v>
      </c>
      <c r="B176" s="21" t="s">
        <v>552</v>
      </c>
      <c r="C176" s="17" t="s">
        <v>553</v>
      </c>
      <c r="D176" s="6" t="s">
        <v>124</v>
      </c>
      <c r="E176" s="12">
        <v>25877</v>
      </c>
      <c r="F176" s="12">
        <v>33208</v>
      </c>
      <c r="G176" s="59">
        <v>45455</v>
      </c>
      <c r="H176" s="46">
        <v>45208</v>
      </c>
      <c r="I176" s="11">
        <f t="shared" ca="1" si="8"/>
        <v>55</v>
      </c>
      <c r="J176" s="72">
        <f>EDATE(G176-1,12)</f>
        <v>45819</v>
      </c>
      <c r="K176" s="9">
        <f>EDATE(H176-1,12*5)</f>
        <v>47034</v>
      </c>
    </row>
    <row r="177" spans="1:11" x14ac:dyDescent="0.25">
      <c r="A177" s="6">
        <v>58008058</v>
      </c>
      <c r="B177" s="6" t="s">
        <v>554</v>
      </c>
      <c r="C177" s="6" t="s">
        <v>555</v>
      </c>
      <c r="D177" s="6" t="s">
        <v>362</v>
      </c>
      <c r="E177" s="12">
        <v>37778</v>
      </c>
      <c r="F177" s="12">
        <v>45133</v>
      </c>
      <c r="G177" s="65" t="s">
        <v>513</v>
      </c>
      <c r="H177" s="46">
        <v>45164</v>
      </c>
      <c r="I177" s="11">
        <f t="shared" ref="I177:I193" ca="1" si="11">DATEDIF(E177,TODAY(),"y")</f>
        <v>23</v>
      </c>
      <c r="J177" s="77" t="s">
        <v>513</v>
      </c>
      <c r="K177" s="9">
        <f>EDATE(H177-1,12*5)</f>
        <v>46990</v>
      </c>
    </row>
    <row r="178" spans="1:11" x14ac:dyDescent="0.25">
      <c r="A178" s="6">
        <v>58008700</v>
      </c>
      <c r="B178" s="27" t="s">
        <v>556</v>
      </c>
      <c r="C178" s="6" t="s">
        <v>557</v>
      </c>
      <c r="D178" s="6" t="s">
        <v>362</v>
      </c>
      <c r="E178" s="12">
        <v>33704</v>
      </c>
      <c r="F178" s="12">
        <v>45148</v>
      </c>
      <c r="G178" s="65" t="s">
        <v>513</v>
      </c>
      <c r="H178" s="46">
        <v>45208</v>
      </c>
      <c r="I178" s="11">
        <f t="shared" ca="1" si="11"/>
        <v>34</v>
      </c>
      <c r="J178" s="77" t="s">
        <v>513</v>
      </c>
      <c r="K178" s="9">
        <f>EDATE(H178-1,12*5)</f>
        <v>47034</v>
      </c>
    </row>
    <row r="179" spans="1:11" x14ac:dyDescent="0.25">
      <c r="A179" s="6">
        <v>58008750</v>
      </c>
      <c r="B179" s="6" t="s">
        <v>558</v>
      </c>
      <c r="C179" s="17" t="s">
        <v>559</v>
      </c>
      <c r="D179" s="6" t="s">
        <v>362</v>
      </c>
      <c r="E179" s="12">
        <v>33366</v>
      </c>
      <c r="F179" s="12">
        <v>45197</v>
      </c>
      <c r="G179" s="65" t="s">
        <v>513</v>
      </c>
      <c r="H179" s="46">
        <v>45261</v>
      </c>
      <c r="I179" s="11">
        <f t="shared" ca="1" si="11"/>
        <v>35</v>
      </c>
      <c r="J179" s="77" t="s">
        <v>513</v>
      </c>
      <c r="K179" s="9">
        <f>EDATE(H179-1,12*5)</f>
        <v>47087</v>
      </c>
    </row>
    <row r="180" spans="1:11" x14ac:dyDescent="0.25">
      <c r="A180" s="5">
        <v>58010082</v>
      </c>
      <c r="B180" s="28" t="s">
        <v>560</v>
      </c>
      <c r="C180" s="28" t="s">
        <v>561</v>
      </c>
      <c r="D180" s="6" t="s">
        <v>362</v>
      </c>
      <c r="E180" s="12"/>
      <c r="F180" s="12" t="s">
        <v>562</v>
      </c>
      <c r="G180" s="65" t="s">
        <v>513</v>
      </c>
      <c r="H180" s="71">
        <v>45344</v>
      </c>
      <c r="I180" s="11">
        <f t="shared" ca="1" si="11"/>
        <v>126</v>
      </c>
      <c r="J180" s="77" t="s">
        <v>513</v>
      </c>
      <c r="K180" s="9">
        <f>EDATE(H180-1,12*5)</f>
        <v>47170</v>
      </c>
    </row>
    <row r="181" spans="1:11" x14ac:dyDescent="0.25">
      <c r="A181" s="5">
        <v>58010222</v>
      </c>
      <c r="B181" s="28" t="s">
        <v>563</v>
      </c>
      <c r="C181" s="28" t="s">
        <v>564</v>
      </c>
      <c r="D181" s="6" t="s">
        <v>362</v>
      </c>
      <c r="E181" s="12"/>
      <c r="F181" s="12"/>
      <c r="G181" s="65" t="s">
        <v>513</v>
      </c>
      <c r="H181" s="46">
        <v>45359</v>
      </c>
      <c r="I181" s="11">
        <f t="shared" ca="1" si="11"/>
        <v>126</v>
      </c>
      <c r="J181" s="77" t="s">
        <v>513</v>
      </c>
      <c r="K181" s="9">
        <f>EDATE(H181-1,12*5)</f>
        <v>47184</v>
      </c>
    </row>
    <row r="182" spans="1:11" x14ac:dyDescent="0.25">
      <c r="A182" s="6">
        <v>24902405</v>
      </c>
      <c r="B182" s="17" t="s">
        <v>565</v>
      </c>
      <c r="C182" s="17" t="s">
        <v>327</v>
      </c>
      <c r="D182" s="6" t="s">
        <v>566</v>
      </c>
      <c r="E182" s="12">
        <v>30114</v>
      </c>
      <c r="F182" s="12">
        <v>38499</v>
      </c>
      <c r="G182" s="59">
        <v>45363</v>
      </c>
      <c r="H182" s="46">
        <v>46088</v>
      </c>
      <c r="I182" s="11">
        <f t="shared" ca="1" si="11"/>
        <v>44</v>
      </c>
      <c r="J182" s="59" t="s">
        <v>513</v>
      </c>
      <c r="K182" s="9">
        <f>EDATE(H182-1,12*5)</f>
        <v>47913</v>
      </c>
    </row>
    <row r="183" spans="1:11" x14ac:dyDescent="0.25">
      <c r="A183" s="50">
        <v>58011685</v>
      </c>
      <c r="B183" s="29" t="s">
        <v>567</v>
      </c>
      <c r="C183" s="29" t="s">
        <v>568</v>
      </c>
      <c r="D183" s="6" t="s">
        <v>362</v>
      </c>
      <c r="E183" s="12"/>
      <c r="F183" s="12"/>
      <c r="G183" s="67" t="s">
        <v>513</v>
      </c>
      <c r="H183" s="46">
        <v>45394</v>
      </c>
      <c r="I183" s="11">
        <f t="shared" ca="1" si="11"/>
        <v>126</v>
      </c>
      <c r="J183" s="77" t="s">
        <v>513</v>
      </c>
      <c r="K183" s="9">
        <f>EDATE(H183-1,12*5)</f>
        <v>47219</v>
      </c>
    </row>
    <row r="184" spans="1:11" x14ac:dyDescent="0.25">
      <c r="A184" s="51">
        <v>58012732</v>
      </c>
      <c r="B184" s="30" t="s">
        <v>569</v>
      </c>
      <c r="C184" s="30" t="s">
        <v>570</v>
      </c>
      <c r="D184" s="5" t="s">
        <v>362</v>
      </c>
      <c r="E184" s="31"/>
      <c r="F184" s="31"/>
      <c r="G184" s="67" t="s">
        <v>513</v>
      </c>
      <c r="H184" s="46">
        <v>45537</v>
      </c>
      <c r="I184" s="11">
        <f t="shared" ca="1" si="11"/>
        <v>126</v>
      </c>
      <c r="J184" s="77" t="s">
        <v>513</v>
      </c>
      <c r="K184" s="9">
        <f>EDATE(H184-1,12*5)</f>
        <v>47362</v>
      </c>
    </row>
    <row r="185" spans="1:11" x14ac:dyDescent="0.25">
      <c r="A185" s="6">
        <v>92400920</v>
      </c>
      <c r="B185" s="6" t="s">
        <v>571</v>
      </c>
      <c r="C185" s="6" t="s">
        <v>572</v>
      </c>
      <c r="D185" s="6" t="s">
        <v>13</v>
      </c>
      <c r="E185" s="4" t="s">
        <v>573</v>
      </c>
      <c r="F185" s="4" t="s">
        <v>574</v>
      </c>
      <c r="G185" s="59">
        <v>46038</v>
      </c>
      <c r="H185" s="46">
        <v>45555</v>
      </c>
      <c r="I185" s="11">
        <f t="shared" ca="1" si="11"/>
        <v>54</v>
      </c>
      <c r="J185" s="72">
        <f>EDATE(G185-1,12)</f>
        <v>46402</v>
      </c>
      <c r="K185" s="9">
        <f>EDATE(H185-1,12*5)</f>
        <v>47380</v>
      </c>
    </row>
    <row r="186" spans="1:11" x14ac:dyDescent="0.25">
      <c r="A186" s="6">
        <v>24904356</v>
      </c>
      <c r="B186" s="6" t="s">
        <v>575</v>
      </c>
      <c r="C186" s="6" t="s">
        <v>576</v>
      </c>
      <c r="D186" s="6" t="s">
        <v>35</v>
      </c>
      <c r="E186" s="4" t="s">
        <v>577</v>
      </c>
      <c r="F186" s="4" t="s">
        <v>578</v>
      </c>
      <c r="G186" s="59">
        <v>45425</v>
      </c>
      <c r="H186" s="46">
        <v>45534</v>
      </c>
      <c r="I186" s="11">
        <f t="shared" ca="1" si="11"/>
        <v>38</v>
      </c>
      <c r="J186" s="59">
        <f>EDATE(G186-1,60)</f>
        <v>47250</v>
      </c>
      <c r="K186" s="9">
        <f>EDATE(H186-1,12*5)</f>
        <v>47359</v>
      </c>
    </row>
    <row r="187" spans="1:11" x14ac:dyDescent="0.25">
      <c r="A187" s="6">
        <v>92492475</v>
      </c>
      <c r="B187" s="6" t="s">
        <v>579</v>
      </c>
      <c r="C187" s="6" t="s">
        <v>580</v>
      </c>
      <c r="D187" s="6" t="s">
        <v>18</v>
      </c>
      <c r="E187" s="4" t="s">
        <v>581</v>
      </c>
      <c r="F187" s="12">
        <v>33582</v>
      </c>
      <c r="G187" s="61">
        <v>46140</v>
      </c>
      <c r="H187" s="85">
        <v>46105</v>
      </c>
      <c r="I187" s="11">
        <f t="shared" ca="1" si="11"/>
        <v>55</v>
      </c>
      <c r="J187" s="59">
        <f t="shared" ref="J187:J193" si="12">EDATE(G187-1,12)</f>
        <v>46504</v>
      </c>
      <c r="K187" s="9">
        <f>EDATE(H187-1,12*5)</f>
        <v>47930</v>
      </c>
    </row>
    <row r="188" spans="1:11" x14ac:dyDescent="0.25">
      <c r="A188" s="6">
        <v>92493986</v>
      </c>
      <c r="B188" s="6" t="s">
        <v>582</v>
      </c>
      <c r="C188" s="6" t="s">
        <v>583</v>
      </c>
      <c r="D188" s="6" t="s">
        <v>60</v>
      </c>
      <c r="E188" s="4" t="s">
        <v>584</v>
      </c>
      <c r="F188" s="4" t="s">
        <v>585</v>
      </c>
      <c r="G188" s="59">
        <v>46192</v>
      </c>
      <c r="H188" s="46">
        <v>45533</v>
      </c>
      <c r="I188" s="11">
        <f t="shared" ca="1" si="11"/>
        <v>58</v>
      </c>
      <c r="J188" s="59">
        <f t="shared" si="12"/>
        <v>46556</v>
      </c>
      <c r="K188" s="9">
        <f>EDATE(H188-1,12*5)</f>
        <v>47358</v>
      </c>
    </row>
    <row r="189" spans="1:11" x14ac:dyDescent="0.25">
      <c r="A189" s="6">
        <v>92494184</v>
      </c>
      <c r="B189" s="6" t="s">
        <v>586</v>
      </c>
      <c r="C189" s="6" t="s">
        <v>34</v>
      </c>
      <c r="D189" s="6" t="s">
        <v>60</v>
      </c>
      <c r="E189" s="4" t="s">
        <v>587</v>
      </c>
      <c r="F189" s="12" t="s">
        <v>588</v>
      </c>
      <c r="G189" s="59">
        <v>46204</v>
      </c>
      <c r="H189" s="46">
        <v>45721</v>
      </c>
      <c r="I189" s="11">
        <f t="shared" ca="1" si="11"/>
        <v>57</v>
      </c>
      <c r="J189" s="59">
        <f t="shared" si="12"/>
        <v>46568</v>
      </c>
      <c r="K189" s="9">
        <f>EDATE(H189-1,12*5)</f>
        <v>47546</v>
      </c>
    </row>
    <row r="190" spans="1:11" x14ac:dyDescent="0.25">
      <c r="A190" s="6">
        <v>92290215</v>
      </c>
      <c r="B190" s="6" t="s">
        <v>589</v>
      </c>
      <c r="C190" s="6" t="s">
        <v>590</v>
      </c>
      <c r="D190" s="6" t="s">
        <v>64</v>
      </c>
      <c r="E190" s="12">
        <v>26115</v>
      </c>
      <c r="F190" s="12">
        <v>34929</v>
      </c>
      <c r="G190" s="59">
        <v>45824</v>
      </c>
      <c r="H190" s="46">
        <v>46202</v>
      </c>
      <c r="I190" s="11">
        <f t="shared" ca="1" si="11"/>
        <v>55</v>
      </c>
      <c r="J190" s="91">
        <f t="shared" si="12"/>
        <v>46188</v>
      </c>
      <c r="K190" s="9">
        <f>EDATE(H190-1,12*5)</f>
        <v>48027</v>
      </c>
    </row>
    <row r="191" spans="1:11" x14ac:dyDescent="0.25">
      <c r="A191" s="6">
        <v>92494187</v>
      </c>
      <c r="B191" s="17" t="s">
        <v>591</v>
      </c>
      <c r="C191" s="17" t="s">
        <v>592</v>
      </c>
      <c r="D191" s="23" t="s">
        <v>372</v>
      </c>
      <c r="E191" s="4" t="s">
        <v>593</v>
      </c>
      <c r="F191" s="4" t="s">
        <v>594</v>
      </c>
      <c r="G191" s="61">
        <v>46205</v>
      </c>
      <c r="H191" s="46">
        <v>45862</v>
      </c>
      <c r="I191" s="11">
        <f t="shared" ca="1" si="11"/>
        <v>59</v>
      </c>
      <c r="J191" s="92">
        <f t="shared" si="12"/>
        <v>46569</v>
      </c>
      <c r="K191" s="9">
        <f>EDATE(H191-1,12*5)</f>
        <v>47687</v>
      </c>
    </row>
    <row r="192" spans="1:11" x14ac:dyDescent="0.25">
      <c r="A192" s="6">
        <v>92303990</v>
      </c>
      <c r="B192" s="17" t="s">
        <v>595</v>
      </c>
      <c r="C192" s="17" t="s">
        <v>596</v>
      </c>
      <c r="D192" s="6" t="s">
        <v>333</v>
      </c>
      <c r="E192" s="12">
        <v>26117</v>
      </c>
      <c r="F192" s="12">
        <v>33469</v>
      </c>
      <c r="G192" s="59">
        <v>46135</v>
      </c>
      <c r="H192" s="46">
        <v>45862</v>
      </c>
      <c r="I192" s="11">
        <f t="shared" ca="1" si="11"/>
        <v>55</v>
      </c>
      <c r="J192" s="72">
        <f t="shared" si="12"/>
        <v>46499</v>
      </c>
      <c r="K192" s="9">
        <f>EDATE(H192-1,12*5)</f>
        <v>47687</v>
      </c>
    </row>
    <row r="193" spans="1:11" x14ac:dyDescent="0.25">
      <c r="A193" s="6">
        <v>92493939</v>
      </c>
      <c r="B193" s="17" t="s">
        <v>597</v>
      </c>
      <c r="C193" s="17" t="s">
        <v>598</v>
      </c>
      <c r="D193" s="6" t="s">
        <v>333</v>
      </c>
      <c r="E193" s="12">
        <v>25903</v>
      </c>
      <c r="F193" s="4" t="s">
        <v>599</v>
      </c>
      <c r="G193" s="59">
        <v>46078</v>
      </c>
      <c r="H193" s="46">
        <v>44754</v>
      </c>
      <c r="I193" s="11">
        <f t="shared" ca="1" si="11"/>
        <v>55</v>
      </c>
      <c r="J193" s="72">
        <f t="shared" si="12"/>
        <v>46442</v>
      </c>
      <c r="K193" s="9">
        <f>EDATE(H193-1,12*5)</f>
        <v>46579</v>
      </c>
    </row>
    <row r="194" spans="1:11" x14ac:dyDescent="0.25">
      <c r="A194" s="6"/>
      <c r="B194" s="17"/>
      <c r="C194" s="17"/>
      <c r="D194" s="6"/>
      <c r="E194" s="12"/>
      <c r="F194" s="12"/>
      <c r="G194" s="59"/>
      <c r="H194" s="46"/>
      <c r="I194" s="11"/>
      <c r="J194" s="92"/>
      <c r="K194" s="9"/>
    </row>
    <row r="195" spans="1:11" x14ac:dyDescent="0.25">
      <c r="A195" s="6"/>
      <c r="B195" s="32"/>
      <c r="C195" s="17"/>
      <c r="D195" s="6"/>
      <c r="E195" s="12"/>
      <c r="F195" s="4"/>
      <c r="G195" s="59"/>
      <c r="H195" s="46"/>
      <c r="I195" s="11"/>
      <c r="J195" s="59"/>
      <c r="K195" s="9"/>
    </row>
    <row r="196" spans="1:11" x14ac:dyDescent="0.25">
      <c r="A196" s="6"/>
      <c r="B196" s="17"/>
      <c r="C196" s="17"/>
      <c r="D196" s="6"/>
      <c r="E196" s="4"/>
      <c r="F196" s="12"/>
      <c r="G196" s="59"/>
      <c r="H196" s="46"/>
      <c r="I196" s="11"/>
      <c r="J196" s="59"/>
      <c r="K196" s="9"/>
    </row>
    <row r="197" spans="1:11" x14ac:dyDescent="0.25">
      <c r="A197" s="6">
        <v>92492491</v>
      </c>
      <c r="B197" s="17" t="s">
        <v>600</v>
      </c>
      <c r="C197" s="17" t="s">
        <v>601</v>
      </c>
      <c r="D197" s="6" t="s">
        <v>372</v>
      </c>
      <c r="E197" s="12">
        <v>27948</v>
      </c>
      <c r="F197" s="12">
        <v>35097</v>
      </c>
      <c r="G197" s="59">
        <v>46042</v>
      </c>
      <c r="H197" s="46">
        <v>45733</v>
      </c>
      <c r="I197" s="11">
        <f t="shared" ref="I197:I239" ca="1" si="13">DATEDIF(E197,TODAY(),"y")</f>
        <v>50</v>
      </c>
      <c r="J197" s="72">
        <f>EDATE(G197-1,36)</f>
        <v>47137</v>
      </c>
      <c r="K197" s="9">
        <f>EDATE(H197-1,12*5)</f>
        <v>47558</v>
      </c>
    </row>
    <row r="198" spans="1:11" x14ac:dyDescent="0.25">
      <c r="A198" s="6">
        <v>23006091</v>
      </c>
      <c r="B198" s="17" t="s">
        <v>602</v>
      </c>
      <c r="C198" s="17" t="s">
        <v>603</v>
      </c>
      <c r="D198" s="6" t="s">
        <v>372</v>
      </c>
      <c r="E198" s="12">
        <v>27154</v>
      </c>
      <c r="F198" s="12">
        <v>34697</v>
      </c>
      <c r="G198" s="61">
        <v>46146</v>
      </c>
      <c r="H198" s="46">
        <v>45853</v>
      </c>
      <c r="I198" s="11">
        <f t="shared" ca="1" si="13"/>
        <v>52</v>
      </c>
      <c r="J198" s="91">
        <f>EDATE(G198-1,36)</f>
        <v>47241</v>
      </c>
      <c r="K198" s="9">
        <f>EDATE(H198-1,12*5)</f>
        <v>47678</v>
      </c>
    </row>
    <row r="199" spans="1:11" x14ac:dyDescent="0.25">
      <c r="A199" s="6">
        <v>92494277</v>
      </c>
      <c r="B199" s="6" t="s">
        <v>604</v>
      </c>
      <c r="C199" s="6" t="s">
        <v>605</v>
      </c>
      <c r="D199" s="23" t="s">
        <v>372</v>
      </c>
      <c r="E199" s="12">
        <v>28271</v>
      </c>
      <c r="F199" s="12">
        <v>35028</v>
      </c>
      <c r="G199" s="59">
        <v>45883</v>
      </c>
      <c r="H199" s="46">
        <v>46097</v>
      </c>
      <c r="I199" s="11">
        <f t="shared" ca="1" si="13"/>
        <v>49</v>
      </c>
      <c r="J199" s="59">
        <f>EDATE(G199-1,36)</f>
        <v>46978</v>
      </c>
      <c r="K199" s="9">
        <f>EDATE(H199-1,12*5)</f>
        <v>47922</v>
      </c>
    </row>
    <row r="200" spans="1:11" x14ac:dyDescent="0.25">
      <c r="A200" s="6">
        <v>92493293</v>
      </c>
      <c r="B200" s="17" t="s">
        <v>606</v>
      </c>
      <c r="C200" s="17" t="s">
        <v>464</v>
      </c>
      <c r="D200" s="6" t="s">
        <v>352</v>
      </c>
      <c r="E200" s="12">
        <v>25750</v>
      </c>
      <c r="F200" s="4" t="s">
        <v>607</v>
      </c>
      <c r="G200" s="59">
        <v>46042</v>
      </c>
      <c r="H200" s="46">
        <v>44443</v>
      </c>
      <c r="I200" s="11">
        <f t="shared" ca="1" si="13"/>
        <v>56</v>
      </c>
      <c r="J200" s="72">
        <f>EDATE(G200-1,12)</f>
        <v>46406</v>
      </c>
      <c r="K200" s="9">
        <f>EDATE(H200-1,12*5)</f>
        <v>46268</v>
      </c>
    </row>
    <row r="201" spans="1:11" x14ac:dyDescent="0.25">
      <c r="A201" s="6">
        <v>92494085</v>
      </c>
      <c r="B201" s="17" t="s">
        <v>608</v>
      </c>
      <c r="C201" s="17" t="s">
        <v>609</v>
      </c>
      <c r="D201" s="6" t="s">
        <v>352</v>
      </c>
      <c r="E201" s="12">
        <v>26430</v>
      </c>
      <c r="F201" s="4" t="s">
        <v>610</v>
      </c>
      <c r="G201" s="59">
        <v>46120</v>
      </c>
      <c r="H201" s="46">
        <v>46165</v>
      </c>
      <c r="I201" s="11">
        <f t="shared" ca="1" si="13"/>
        <v>54</v>
      </c>
      <c r="J201" s="59">
        <f>EDATE(G201-1,12)</f>
        <v>46484</v>
      </c>
      <c r="K201" s="9">
        <f>EDATE(H201-1,12*5)</f>
        <v>47990</v>
      </c>
    </row>
    <row r="202" spans="1:11" x14ac:dyDescent="0.25">
      <c r="A202" s="6">
        <v>92494089</v>
      </c>
      <c r="B202" s="17" t="s">
        <v>611</v>
      </c>
      <c r="C202" s="17" t="s">
        <v>612</v>
      </c>
      <c r="D202" s="6" t="s">
        <v>372</v>
      </c>
      <c r="E202" s="12">
        <v>25703</v>
      </c>
      <c r="F202" s="12">
        <v>35136</v>
      </c>
      <c r="G202" s="59">
        <v>46080</v>
      </c>
      <c r="H202" s="46">
        <v>45101</v>
      </c>
      <c r="I202" s="11">
        <f t="shared" ca="1" si="13"/>
        <v>56</v>
      </c>
      <c r="J202" s="59">
        <f>EDATE(G202-1,12)</f>
        <v>46444</v>
      </c>
      <c r="K202" s="9">
        <f>EDATE(H202-1,12*5)</f>
        <v>46927</v>
      </c>
    </row>
    <row r="203" spans="1:11" x14ac:dyDescent="0.25">
      <c r="A203" s="6">
        <v>92493558</v>
      </c>
      <c r="B203" s="17" t="s">
        <v>613</v>
      </c>
      <c r="C203" s="17" t="s">
        <v>614</v>
      </c>
      <c r="D203" s="6" t="s">
        <v>270</v>
      </c>
      <c r="E203" s="4" t="s">
        <v>615</v>
      </c>
      <c r="F203" s="4" t="s">
        <v>466</v>
      </c>
      <c r="G203" s="61">
        <v>46135</v>
      </c>
      <c r="H203" s="46">
        <v>45035</v>
      </c>
      <c r="I203" s="11">
        <f t="shared" ca="1" si="13"/>
        <v>59</v>
      </c>
      <c r="J203" s="72">
        <f>EDATE(G203-1,12)</f>
        <v>46499</v>
      </c>
      <c r="K203" s="9">
        <f>EDATE(H203-1,12*5)</f>
        <v>46861</v>
      </c>
    </row>
    <row r="204" spans="1:11" x14ac:dyDescent="0.25">
      <c r="A204" s="6">
        <v>92493645</v>
      </c>
      <c r="B204" s="17" t="s">
        <v>616</v>
      </c>
      <c r="C204" s="17" t="s">
        <v>617</v>
      </c>
      <c r="D204" s="6" t="s">
        <v>124</v>
      </c>
      <c r="E204" s="4" t="s">
        <v>618</v>
      </c>
      <c r="F204" s="12" t="s">
        <v>619</v>
      </c>
      <c r="G204" s="59">
        <v>45805</v>
      </c>
      <c r="H204" s="46">
        <v>46231</v>
      </c>
      <c r="I204" s="11">
        <f t="shared" ca="1" si="13"/>
        <v>49</v>
      </c>
      <c r="J204" s="92">
        <f>EDATE(G204-1,36)</f>
        <v>46900</v>
      </c>
      <c r="K204" s="9">
        <f>EDATE(H204-1,12*5)</f>
        <v>48056</v>
      </c>
    </row>
    <row r="205" spans="1:11" x14ac:dyDescent="0.25">
      <c r="A205" s="6">
        <v>92492483</v>
      </c>
      <c r="B205" s="17" t="s">
        <v>620</v>
      </c>
      <c r="C205" s="17" t="s">
        <v>621</v>
      </c>
      <c r="D205" s="6" t="s">
        <v>277</v>
      </c>
      <c r="E205" s="4" t="s">
        <v>622</v>
      </c>
      <c r="F205" s="4" t="s">
        <v>623</v>
      </c>
      <c r="G205" s="68">
        <v>45923</v>
      </c>
      <c r="H205" s="46">
        <v>45702</v>
      </c>
      <c r="I205" s="11">
        <f t="shared" ca="1" si="13"/>
        <v>56</v>
      </c>
      <c r="J205" s="59">
        <f>EDATE(G205-1,12)</f>
        <v>46287</v>
      </c>
      <c r="K205" s="9">
        <f>EDATE(H205-1,12*5)</f>
        <v>47527</v>
      </c>
    </row>
    <row r="206" spans="1:11" x14ac:dyDescent="0.25">
      <c r="A206" s="6">
        <v>92493429</v>
      </c>
      <c r="B206" s="17" t="s">
        <v>624</v>
      </c>
      <c r="C206" s="17" t="s">
        <v>625</v>
      </c>
      <c r="D206" s="6" t="s">
        <v>566</v>
      </c>
      <c r="E206" s="12">
        <v>26330</v>
      </c>
      <c r="F206" s="12">
        <v>33885</v>
      </c>
      <c r="G206" s="59">
        <v>46070</v>
      </c>
      <c r="H206" s="46">
        <v>45411</v>
      </c>
      <c r="I206" s="11">
        <f t="shared" ca="1" si="13"/>
        <v>54</v>
      </c>
      <c r="J206" s="59">
        <f>EDATE(G206-1,12)</f>
        <v>46434</v>
      </c>
      <c r="K206" s="9">
        <f>EDATE(H206-1,12*5)</f>
        <v>47236</v>
      </c>
    </row>
    <row r="207" spans="1:11" x14ac:dyDescent="0.25">
      <c r="A207" s="6">
        <v>92492485</v>
      </c>
      <c r="B207" s="17" t="s">
        <v>626</v>
      </c>
      <c r="C207" s="17" t="s">
        <v>627</v>
      </c>
      <c r="D207" s="6" t="s">
        <v>277</v>
      </c>
      <c r="E207" s="12">
        <v>24754</v>
      </c>
      <c r="F207" s="4" t="s">
        <v>623</v>
      </c>
      <c r="G207" s="60">
        <v>45873</v>
      </c>
      <c r="H207" s="46">
        <v>44384</v>
      </c>
      <c r="I207" s="2">
        <f t="shared" ca="1" si="13"/>
        <v>58</v>
      </c>
      <c r="J207" s="92">
        <f>EDATE(G207-1,12)</f>
        <v>46237</v>
      </c>
      <c r="K207" s="9">
        <f>EDATE(H207-1,12*5)</f>
        <v>46209</v>
      </c>
    </row>
    <row r="208" spans="1:11" x14ac:dyDescent="0.25">
      <c r="A208" s="6">
        <v>58003870</v>
      </c>
      <c r="B208" s="17" t="s">
        <v>628</v>
      </c>
      <c r="C208" s="17" t="s">
        <v>629</v>
      </c>
      <c r="D208" s="6" t="s">
        <v>362</v>
      </c>
      <c r="E208" s="12">
        <v>34001</v>
      </c>
      <c r="F208" s="12">
        <v>44833</v>
      </c>
      <c r="G208" s="65" t="s">
        <v>513</v>
      </c>
      <c r="H208" s="46">
        <v>46220</v>
      </c>
      <c r="I208" s="11">
        <f t="shared" ca="1" si="13"/>
        <v>33</v>
      </c>
      <c r="J208" s="77" t="s">
        <v>513</v>
      </c>
      <c r="K208" s="9">
        <f>EDATE(H208-1,12*5)</f>
        <v>48045</v>
      </c>
    </row>
    <row r="209" spans="1:11" x14ac:dyDescent="0.25">
      <c r="A209" s="6">
        <v>58004237</v>
      </c>
      <c r="B209" s="17" t="s">
        <v>630</v>
      </c>
      <c r="C209" s="17" t="s">
        <v>631</v>
      </c>
      <c r="D209" s="6" t="s">
        <v>362</v>
      </c>
      <c r="E209" s="12">
        <v>34921</v>
      </c>
      <c r="F209" s="12">
        <v>44849</v>
      </c>
      <c r="G209" s="65" t="s">
        <v>513</v>
      </c>
      <c r="H209" s="46">
        <v>44915</v>
      </c>
      <c r="I209" s="11">
        <f t="shared" ca="1" si="13"/>
        <v>31</v>
      </c>
      <c r="J209" s="77" t="s">
        <v>513</v>
      </c>
      <c r="K209" s="9">
        <f>EDATE(H209-1,12*5)</f>
        <v>46740</v>
      </c>
    </row>
    <row r="210" spans="1:11" x14ac:dyDescent="0.25">
      <c r="A210" s="6">
        <v>24900980</v>
      </c>
      <c r="B210" s="6" t="s">
        <v>632</v>
      </c>
      <c r="C210" s="6" t="s">
        <v>633</v>
      </c>
      <c r="D210" s="23" t="s">
        <v>372</v>
      </c>
      <c r="E210" s="4" t="s">
        <v>634</v>
      </c>
      <c r="F210" s="12">
        <v>37751</v>
      </c>
      <c r="G210" s="59">
        <v>46175</v>
      </c>
      <c r="H210" s="46">
        <v>45425</v>
      </c>
      <c r="I210" s="11">
        <f t="shared" ca="1" si="13"/>
        <v>43</v>
      </c>
      <c r="J210" s="91">
        <f>EDATE(G210-1,60)</f>
        <v>48000</v>
      </c>
      <c r="K210" s="9">
        <f>EDATE(H210-1,12*5)</f>
        <v>47250</v>
      </c>
    </row>
    <row r="211" spans="1:11" x14ac:dyDescent="0.25">
      <c r="A211" s="15">
        <v>22748024</v>
      </c>
      <c r="B211" s="15" t="s">
        <v>635</v>
      </c>
      <c r="C211" s="6" t="s">
        <v>636</v>
      </c>
      <c r="D211" s="6" t="s">
        <v>13</v>
      </c>
      <c r="E211" s="4" t="s">
        <v>637</v>
      </c>
      <c r="F211" s="4" t="s">
        <v>638</v>
      </c>
      <c r="G211" s="59">
        <v>45390</v>
      </c>
      <c r="H211" s="46">
        <v>46183</v>
      </c>
      <c r="I211" s="11">
        <f t="shared" ca="1" si="13"/>
        <v>44</v>
      </c>
      <c r="J211" s="59">
        <f>EDATE(G211-1,60)</f>
        <v>47215</v>
      </c>
      <c r="K211" s="9">
        <f>EDATE(H211-1,12*5)</f>
        <v>48008</v>
      </c>
    </row>
    <row r="212" spans="1:11" x14ac:dyDescent="0.25">
      <c r="A212" s="6">
        <v>92493625</v>
      </c>
      <c r="B212" s="6" t="s">
        <v>639</v>
      </c>
      <c r="C212" s="6" t="s">
        <v>640</v>
      </c>
      <c r="D212" s="6" t="s">
        <v>13</v>
      </c>
      <c r="E212" s="4" t="s">
        <v>641</v>
      </c>
      <c r="F212" s="4" t="s">
        <v>642</v>
      </c>
      <c r="G212" s="69">
        <v>46121</v>
      </c>
      <c r="H212" s="46">
        <v>45155</v>
      </c>
      <c r="I212" s="11">
        <f t="shared" ca="1" si="13"/>
        <v>53</v>
      </c>
      <c r="J212" s="59">
        <f t="shared" ref="J212:J220" si="14">EDATE(G212-1,12)</f>
        <v>46485</v>
      </c>
      <c r="K212" s="9">
        <f>EDATE(H212-1,12*5)</f>
        <v>46981</v>
      </c>
    </row>
    <row r="213" spans="1:11" x14ac:dyDescent="0.25">
      <c r="A213" s="6">
        <v>92492975</v>
      </c>
      <c r="B213" s="6" t="s">
        <v>643</v>
      </c>
      <c r="C213" s="6" t="s">
        <v>644</v>
      </c>
      <c r="D213" s="6" t="s">
        <v>35</v>
      </c>
      <c r="E213" s="4" t="s">
        <v>645</v>
      </c>
      <c r="F213" s="4" t="s">
        <v>646</v>
      </c>
      <c r="G213" s="59">
        <v>46043</v>
      </c>
      <c r="H213" s="46">
        <v>45742</v>
      </c>
      <c r="I213" s="11">
        <f t="shared" ca="1" si="13"/>
        <v>55</v>
      </c>
      <c r="J213" s="72">
        <f t="shared" si="14"/>
        <v>46407</v>
      </c>
      <c r="K213" s="9">
        <f>EDATE(H213-1,12*5)</f>
        <v>47567</v>
      </c>
    </row>
    <row r="214" spans="1:11" x14ac:dyDescent="0.25">
      <c r="A214" s="6">
        <v>92493368</v>
      </c>
      <c r="B214" s="6" t="s">
        <v>647</v>
      </c>
      <c r="C214" s="6" t="s">
        <v>648</v>
      </c>
      <c r="D214" s="6" t="s">
        <v>35</v>
      </c>
      <c r="E214" s="4" t="s">
        <v>649</v>
      </c>
      <c r="F214" s="4" t="s">
        <v>650</v>
      </c>
      <c r="G214" s="61">
        <v>45966</v>
      </c>
      <c r="H214" s="46">
        <v>45748</v>
      </c>
      <c r="I214" s="11">
        <f t="shared" ca="1" si="13"/>
        <v>54</v>
      </c>
      <c r="J214" s="59">
        <f t="shared" si="14"/>
        <v>46330</v>
      </c>
      <c r="K214" s="9">
        <f>EDATE(H214-1,12*5)</f>
        <v>47573</v>
      </c>
    </row>
    <row r="215" spans="1:11" x14ac:dyDescent="0.25">
      <c r="A215" s="6">
        <v>92492965</v>
      </c>
      <c r="B215" s="6" t="s">
        <v>154</v>
      </c>
      <c r="C215" s="6" t="s">
        <v>651</v>
      </c>
      <c r="D215" s="6" t="s">
        <v>18</v>
      </c>
      <c r="E215" s="4" t="s">
        <v>652</v>
      </c>
      <c r="F215" s="4" t="s">
        <v>653</v>
      </c>
      <c r="G215" s="59">
        <v>45873</v>
      </c>
      <c r="H215" s="46">
        <v>44378</v>
      </c>
      <c r="I215" s="2">
        <f t="shared" ca="1" si="13"/>
        <v>55</v>
      </c>
      <c r="J215" s="92">
        <f t="shared" si="14"/>
        <v>46237</v>
      </c>
      <c r="K215" s="9">
        <f>EDATE(H215-1,12*5)</f>
        <v>46203</v>
      </c>
    </row>
    <row r="216" spans="1:11" x14ac:dyDescent="0.25">
      <c r="A216" s="6">
        <v>92492941</v>
      </c>
      <c r="B216" s="6" t="s">
        <v>654</v>
      </c>
      <c r="C216" s="6" t="s">
        <v>244</v>
      </c>
      <c r="D216" s="6" t="s">
        <v>18</v>
      </c>
      <c r="E216" s="4" t="s">
        <v>655</v>
      </c>
      <c r="F216" s="4" t="s">
        <v>656</v>
      </c>
      <c r="G216" s="59">
        <v>46163</v>
      </c>
      <c r="H216" s="80">
        <v>45895</v>
      </c>
      <c r="I216" s="11">
        <f t="shared" ca="1" si="13"/>
        <v>55</v>
      </c>
      <c r="J216" s="59">
        <f t="shared" si="14"/>
        <v>46527</v>
      </c>
      <c r="K216" s="9">
        <f>EDATE(H216-1,12*5)</f>
        <v>47720</v>
      </c>
    </row>
    <row r="217" spans="1:11" x14ac:dyDescent="0.25">
      <c r="A217" s="6">
        <v>92493074</v>
      </c>
      <c r="B217" s="6" t="s">
        <v>657</v>
      </c>
      <c r="C217" s="6" t="s">
        <v>658</v>
      </c>
      <c r="D217" s="6" t="s">
        <v>60</v>
      </c>
      <c r="E217" s="4" t="s">
        <v>659</v>
      </c>
      <c r="F217" s="4" t="s">
        <v>660</v>
      </c>
      <c r="G217" s="59">
        <v>46121</v>
      </c>
      <c r="H217" s="46">
        <v>45131</v>
      </c>
      <c r="I217" s="11">
        <f t="shared" ca="1" si="13"/>
        <v>55</v>
      </c>
      <c r="J217" s="59">
        <f t="shared" si="14"/>
        <v>46485</v>
      </c>
      <c r="K217" s="9">
        <f>EDATE(H217-1,12*5)</f>
        <v>46957</v>
      </c>
    </row>
    <row r="218" spans="1:11" x14ac:dyDescent="0.25">
      <c r="A218" s="6">
        <v>92289315</v>
      </c>
      <c r="B218" s="6" t="s">
        <v>661</v>
      </c>
      <c r="C218" s="6" t="s">
        <v>662</v>
      </c>
      <c r="D218" s="6" t="s">
        <v>60</v>
      </c>
      <c r="E218" s="4" t="s">
        <v>663</v>
      </c>
      <c r="F218" s="4" t="s">
        <v>664</v>
      </c>
      <c r="G218" s="59">
        <v>46171</v>
      </c>
      <c r="H218" s="46">
        <v>46202</v>
      </c>
      <c r="I218" s="11">
        <f t="shared" ca="1" si="13"/>
        <v>58</v>
      </c>
      <c r="J218" s="59">
        <f t="shared" si="14"/>
        <v>46535</v>
      </c>
      <c r="K218" s="9">
        <f>EDATE(H218-1,12*5)</f>
        <v>48027</v>
      </c>
    </row>
    <row r="219" spans="1:11" x14ac:dyDescent="0.25">
      <c r="A219" s="6">
        <v>92493059</v>
      </c>
      <c r="B219" s="6" t="s">
        <v>665</v>
      </c>
      <c r="C219" s="6" t="s">
        <v>666</v>
      </c>
      <c r="D219" s="6" t="s">
        <v>60</v>
      </c>
      <c r="E219" s="4" t="s">
        <v>667</v>
      </c>
      <c r="F219" s="4" t="s">
        <v>668</v>
      </c>
      <c r="G219" s="59">
        <v>46062</v>
      </c>
      <c r="H219" s="86">
        <v>45762</v>
      </c>
      <c r="I219" s="11">
        <f t="shared" ca="1" si="13"/>
        <v>58</v>
      </c>
      <c r="J219" s="72">
        <f t="shared" si="14"/>
        <v>46426</v>
      </c>
      <c r="K219" s="9">
        <f>EDATE(H219-1,12*5)</f>
        <v>47587</v>
      </c>
    </row>
    <row r="220" spans="1:11" x14ac:dyDescent="0.25">
      <c r="A220" s="6">
        <v>92493038</v>
      </c>
      <c r="B220" s="6" t="s">
        <v>669</v>
      </c>
      <c r="C220" s="6" t="s">
        <v>670</v>
      </c>
      <c r="D220" s="6" t="s">
        <v>60</v>
      </c>
      <c r="E220" s="4" t="s">
        <v>671</v>
      </c>
      <c r="F220" s="4" t="s">
        <v>57</v>
      </c>
      <c r="G220" s="61">
        <v>46223</v>
      </c>
      <c r="H220" s="46">
        <v>45723</v>
      </c>
      <c r="I220" s="2">
        <f t="shared" ca="1" si="13"/>
        <v>52</v>
      </c>
      <c r="J220" s="59">
        <f t="shared" si="14"/>
        <v>46587</v>
      </c>
      <c r="K220" s="9">
        <f>EDATE(H220-1,12*5)</f>
        <v>47548</v>
      </c>
    </row>
    <row r="221" spans="1:11" x14ac:dyDescent="0.25">
      <c r="A221" s="6"/>
      <c r="B221" s="6"/>
      <c r="C221" s="6"/>
      <c r="D221" s="6"/>
      <c r="E221" s="4"/>
      <c r="F221" s="4"/>
      <c r="G221" s="59"/>
      <c r="H221" s="46"/>
      <c r="I221" s="11"/>
      <c r="J221" s="72"/>
      <c r="K221" s="9"/>
    </row>
    <row r="222" spans="1:11" x14ac:dyDescent="0.25">
      <c r="A222" s="15">
        <v>24911505</v>
      </c>
      <c r="B222" s="15" t="s">
        <v>672</v>
      </c>
      <c r="C222" s="15" t="s">
        <v>104</v>
      </c>
      <c r="D222" s="6" t="s">
        <v>64</v>
      </c>
      <c r="E222" s="13" t="s">
        <v>427</v>
      </c>
      <c r="F222" s="13" t="s">
        <v>510</v>
      </c>
      <c r="G222" s="59">
        <v>45093</v>
      </c>
      <c r="H222" s="46">
        <v>44606</v>
      </c>
      <c r="I222" s="11">
        <f t="shared" ca="1" si="13"/>
        <v>37</v>
      </c>
      <c r="J222" s="59">
        <f>EDATE(G222-1,60)</f>
        <v>46919</v>
      </c>
      <c r="K222" s="9">
        <f>EDATE(H222-1,12*5)</f>
        <v>46431</v>
      </c>
    </row>
    <row r="223" spans="1:11" x14ac:dyDescent="0.25">
      <c r="A223" s="6">
        <v>24915942</v>
      </c>
      <c r="B223" s="17" t="s">
        <v>673</v>
      </c>
      <c r="C223" s="17" t="s">
        <v>674</v>
      </c>
      <c r="D223" s="6" t="s">
        <v>64</v>
      </c>
      <c r="E223" s="12">
        <v>36571</v>
      </c>
      <c r="F223" s="12">
        <v>43301</v>
      </c>
      <c r="G223" s="59">
        <v>45175</v>
      </c>
      <c r="H223" s="46">
        <v>45157</v>
      </c>
      <c r="I223" s="11">
        <f t="shared" ca="1" si="13"/>
        <v>26</v>
      </c>
      <c r="J223" s="59">
        <f>EDATE(G223-1,60)</f>
        <v>47001</v>
      </c>
      <c r="K223" s="9">
        <f>EDATE(H223-1,12*5)</f>
        <v>46983</v>
      </c>
    </row>
    <row r="224" spans="1:11" x14ac:dyDescent="0.25">
      <c r="A224" s="6">
        <v>24901581</v>
      </c>
      <c r="B224" s="17" t="s">
        <v>675</v>
      </c>
      <c r="C224" s="17" t="s">
        <v>676</v>
      </c>
      <c r="D224" s="6" t="s">
        <v>64</v>
      </c>
      <c r="E224" s="12">
        <v>28044</v>
      </c>
      <c r="F224" s="4" t="s">
        <v>677</v>
      </c>
      <c r="G224" s="59">
        <v>45485</v>
      </c>
      <c r="H224" s="46">
        <v>45575</v>
      </c>
      <c r="I224" s="11">
        <f t="shared" ca="1" si="13"/>
        <v>49</v>
      </c>
      <c r="J224" s="59">
        <f>EDATE(G224-1,36)</f>
        <v>46579</v>
      </c>
      <c r="K224" s="9">
        <f>EDATE(H224-1,12*5)</f>
        <v>47400</v>
      </c>
    </row>
    <row r="225" spans="1:11" x14ac:dyDescent="0.25">
      <c r="A225" s="6">
        <v>92493352</v>
      </c>
      <c r="B225" s="17" t="s">
        <v>518</v>
      </c>
      <c r="C225" s="17" t="s">
        <v>67</v>
      </c>
      <c r="D225" s="6" t="s">
        <v>277</v>
      </c>
      <c r="E225" s="12" t="s">
        <v>678</v>
      </c>
      <c r="F225" s="12">
        <v>34070</v>
      </c>
      <c r="G225" s="59">
        <v>46090</v>
      </c>
      <c r="H225" s="46">
        <v>45321</v>
      </c>
      <c r="I225" s="11">
        <f t="shared" ca="1" si="13"/>
        <v>55</v>
      </c>
      <c r="J225" s="72">
        <f>EDATE(G225-1,12)</f>
        <v>46454</v>
      </c>
      <c r="K225" s="9">
        <f>EDATE(H225-1,12*5)</f>
        <v>47147</v>
      </c>
    </row>
    <row r="226" spans="1:11" x14ac:dyDescent="0.25">
      <c r="A226" s="6">
        <v>24902855</v>
      </c>
      <c r="B226" s="6" t="s">
        <v>679</v>
      </c>
      <c r="C226" s="6" t="s">
        <v>680</v>
      </c>
      <c r="D226" s="6" t="s">
        <v>35</v>
      </c>
      <c r="E226" s="4" t="s">
        <v>681</v>
      </c>
      <c r="F226" s="4" t="s">
        <v>682</v>
      </c>
      <c r="G226" s="59">
        <v>45026</v>
      </c>
      <c r="H226" s="46">
        <v>45045</v>
      </c>
      <c r="I226" s="11">
        <f t="shared" ca="1" si="13"/>
        <v>40</v>
      </c>
      <c r="J226" s="59">
        <f>EDATE(G226-1,60)</f>
        <v>46852</v>
      </c>
      <c r="K226" s="9">
        <f>EDATE(H226-1,12*5)</f>
        <v>46871</v>
      </c>
    </row>
    <row r="227" spans="1:11" x14ac:dyDescent="0.25">
      <c r="A227" s="6">
        <v>24913850</v>
      </c>
      <c r="B227" s="6" t="s">
        <v>683</v>
      </c>
      <c r="C227" s="6" t="s">
        <v>684</v>
      </c>
      <c r="D227" s="6" t="s">
        <v>35</v>
      </c>
      <c r="E227" s="12">
        <v>33032</v>
      </c>
      <c r="F227" s="33">
        <v>42536</v>
      </c>
      <c r="G227" s="70">
        <v>45150</v>
      </c>
      <c r="H227" s="46">
        <v>44776</v>
      </c>
      <c r="I227" s="11">
        <f t="shared" ca="1" si="13"/>
        <v>36</v>
      </c>
      <c r="J227" s="59">
        <f>EDATE(G227-1,60)</f>
        <v>46976</v>
      </c>
      <c r="K227" s="9">
        <f>EDATE(H227-1,12*5)</f>
        <v>46601</v>
      </c>
    </row>
    <row r="228" spans="1:11" x14ac:dyDescent="0.25">
      <c r="A228" s="6">
        <v>92493041</v>
      </c>
      <c r="B228" s="17" t="s">
        <v>606</v>
      </c>
      <c r="C228" s="17" t="s">
        <v>685</v>
      </c>
      <c r="D228" s="6" t="s">
        <v>333</v>
      </c>
      <c r="E228" s="12">
        <v>27070</v>
      </c>
      <c r="F228" s="12">
        <v>34037</v>
      </c>
      <c r="G228" s="61">
        <v>46100</v>
      </c>
      <c r="H228" s="46">
        <v>45129</v>
      </c>
      <c r="I228" s="11">
        <f t="shared" ca="1" si="13"/>
        <v>52</v>
      </c>
      <c r="J228" s="72">
        <f>EDATE(G228-1,12)</f>
        <v>46464</v>
      </c>
      <c r="K228" s="9">
        <f>EDATE(H228-1,12*5)</f>
        <v>46955</v>
      </c>
    </row>
    <row r="229" spans="1:11" x14ac:dyDescent="0.25">
      <c r="A229" s="6">
        <v>92291291</v>
      </c>
      <c r="B229" s="17" t="s">
        <v>686</v>
      </c>
      <c r="C229" s="17" t="s">
        <v>687</v>
      </c>
      <c r="D229" s="6" t="s">
        <v>333</v>
      </c>
      <c r="E229" s="12">
        <v>29221</v>
      </c>
      <c r="F229" s="12">
        <v>36573</v>
      </c>
      <c r="G229" s="59">
        <v>45253</v>
      </c>
      <c r="H229" s="46">
        <v>45335</v>
      </c>
      <c r="I229" s="11">
        <f t="shared" ca="1" si="13"/>
        <v>46</v>
      </c>
      <c r="J229" s="59">
        <f>EDATE(G229-1,36)</f>
        <v>46348</v>
      </c>
      <c r="K229" s="9">
        <f>EDATE(H229-1,12*5)</f>
        <v>47161</v>
      </c>
    </row>
    <row r="230" spans="1:11" x14ac:dyDescent="0.25">
      <c r="A230" s="6">
        <v>92303997</v>
      </c>
      <c r="B230" s="17" t="s">
        <v>688</v>
      </c>
      <c r="C230" s="17" t="s">
        <v>689</v>
      </c>
      <c r="D230" s="6" t="s">
        <v>333</v>
      </c>
      <c r="E230" s="4" t="s">
        <v>690</v>
      </c>
      <c r="F230" s="4" t="s">
        <v>691</v>
      </c>
      <c r="G230" s="59">
        <v>45925</v>
      </c>
      <c r="H230" s="46">
        <v>45194</v>
      </c>
      <c r="I230" s="11">
        <f t="shared" ca="1" si="13"/>
        <v>59</v>
      </c>
      <c r="J230" s="92">
        <f>EDATE(G230-1,12)</f>
        <v>46289</v>
      </c>
      <c r="K230" s="9">
        <f>EDATE(H230-1,12*5)</f>
        <v>47020</v>
      </c>
    </row>
    <row r="231" spans="1:11" x14ac:dyDescent="0.25">
      <c r="A231" s="6">
        <v>92304081</v>
      </c>
      <c r="B231" s="17" t="s">
        <v>692</v>
      </c>
      <c r="C231" s="17" t="s">
        <v>693</v>
      </c>
      <c r="D231" s="6" t="s">
        <v>333</v>
      </c>
      <c r="E231" s="4" t="s">
        <v>694</v>
      </c>
      <c r="F231" s="12">
        <v>34457</v>
      </c>
      <c r="G231" s="59">
        <v>45926</v>
      </c>
      <c r="H231" s="46">
        <v>45094</v>
      </c>
      <c r="I231" s="11">
        <f t="shared" ca="1" si="13"/>
        <v>58</v>
      </c>
      <c r="J231" s="91">
        <f>EDATE(G231-1,12)</f>
        <v>46290</v>
      </c>
      <c r="K231" s="9">
        <f>EDATE(H231-1,12*5)</f>
        <v>46920</v>
      </c>
    </row>
    <row r="232" spans="1:11" x14ac:dyDescent="0.25">
      <c r="A232" s="6">
        <v>92304157</v>
      </c>
      <c r="B232" s="17" t="s">
        <v>695</v>
      </c>
      <c r="C232" s="17" t="s">
        <v>696</v>
      </c>
      <c r="D232" s="6" t="s">
        <v>352</v>
      </c>
      <c r="E232" s="4" t="s">
        <v>697</v>
      </c>
      <c r="F232" s="4" t="s">
        <v>698</v>
      </c>
      <c r="G232" s="59">
        <v>46060</v>
      </c>
      <c r="H232" s="46">
        <v>45125</v>
      </c>
      <c r="I232" s="11">
        <f t="shared" ca="1" si="13"/>
        <v>48</v>
      </c>
      <c r="J232" s="59">
        <f>EDATE(G232-1,36)</f>
        <v>47155</v>
      </c>
      <c r="K232" s="9">
        <f>EDATE(H232-1,12*5)</f>
        <v>46951</v>
      </c>
    </row>
    <row r="233" spans="1:11" x14ac:dyDescent="0.25">
      <c r="A233" s="6">
        <v>92290834</v>
      </c>
      <c r="B233" s="17" t="s">
        <v>699</v>
      </c>
      <c r="C233" s="17" t="s">
        <v>626</v>
      </c>
      <c r="D233" s="6" t="s">
        <v>270</v>
      </c>
      <c r="E233" s="12">
        <v>25299</v>
      </c>
      <c r="F233" s="4" t="s">
        <v>700</v>
      </c>
      <c r="G233" s="59">
        <v>45679</v>
      </c>
      <c r="H233" s="46">
        <v>45875</v>
      </c>
      <c r="I233" s="11">
        <f t="shared" ca="1" si="13"/>
        <v>57</v>
      </c>
      <c r="J233" s="59">
        <f>EDATE(G233-1,12)</f>
        <v>46043</v>
      </c>
      <c r="K233" s="9">
        <f>EDATE(H233-1,12*5)</f>
        <v>47700</v>
      </c>
    </row>
    <row r="234" spans="1:11" x14ac:dyDescent="0.25">
      <c r="A234" s="6"/>
      <c r="B234" s="17"/>
      <c r="C234" s="17"/>
      <c r="D234" s="6"/>
      <c r="E234" s="4"/>
      <c r="F234" s="4"/>
      <c r="G234" s="59"/>
      <c r="H234" s="46"/>
      <c r="I234" s="11"/>
      <c r="J234" s="91"/>
      <c r="K234" s="9"/>
    </row>
    <row r="235" spans="1:11" x14ac:dyDescent="0.25">
      <c r="A235" s="6">
        <v>24908479</v>
      </c>
      <c r="B235" s="17" t="s">
        <v>701</v>
      </c>
      <c r="C235" s="17" t="s">
        <v>702</v>
      </c>
      <c r="D235" s="6" t="s">
        <v>270</v>
      </c>
      <c r="E235" s="12">
        <v>33756</v>
      </c>
      <c r="F235" s="4" t="s">
        <v>703</v>
      </c>
      <c r="G235" s="59">
        <v>46063</v>
      </c>
      <c r="H235" s="46">
        <v>45125</v>
      </c>
      <c r="I235" s="11">
        <f t="shared" ca="1" si="13"/>
        <v>34</v>
      </c>
      <c r="J235" s="72">
        <f>EDATE(G235-1,60)</f>
        <v>47888</v>
      </c>
      <c r="K235" s="9">
        <f>EDATE(H235-1,12*5)</f>
        <v>46951</v>
      </c>
    </row>
    <row r="236" spans="1:11" x14ac:dyDescent="0.25">
      <c r="A236" s="6">
        <v>92492990</v>
      </c>
      <c r="B236" s="17" t="s">
        <v>704</v>
      </c>
      <c r="C236" s="17" t="s">
        <v>296</v>
      </c>
      <c r="D236" s="6" t="s">
        <v>124</v>
      </c>
      <c r="E236" s="12">
        <v>25364</v>
      </c>
      <c r="F236" s="12">
        <v>33823</v>
      </c>
      <c r="G236" s="59">
        <v>45926</v>
      </c>
      <c r="H236" s="46">
        <v>46199</v>
      </c>
      <c r="I236" s="11">
        <f t="shared" ca="1" si="13"/>
        <v>57</v>
      </c>
      <c r="J236" s="92">
        <f>EDATE(G236-1,12)</f>
        <v>46290</v>
      </c>
      <c r="K236" s="9">
        <f>EDATE(H236-1,12*5)</f>
        <v>48024</v>
      </c>
    </row>
    <row r="237" spans="1:11" x14ac:dyDescent="0.25">
      <c r="A237" s="6">
        <v>92290265</v>
      </c>
      <c r="B237" s="17" t="s">
        <v>705</v>
      </c>
      <c r="C237" s="17" t="s">
        <v>706</v>
      </c>
      <c r="D237" s="6" t="s">
        <v>289</v>
      </c>
      <c r="E237" s="4" t="s">
        <v>707</v>
      </c>
      <c r="F237" s="12" t="s">
        <v>708</v>
      </c>
      <c r="G237" s="59">
        <v>46091</v>
      </c>
      <c r="H237" s="46">
        <v>44711</v>
      </c>
      <c r="I237" s="11">
        <f t="shared" ca="1" si="13"/>
        <v>53</v>
      </c>
      <c r="J237" s="59">
        <f>EDATE(G237-1,12)</f>
        <v>46455</v>
      </c>
      <c r="K237" s="9">
        <f>EDATE(H237-1,12*5)</f>
        <v>46536</v>
      </c>
    </row>
    <row r="238" spans="1:11" x14ac:dyDescent="0.25">
      <c r="A238" s="6">
        <v>92493133</v>
      </c>
      <c r="B238" s="17" t="s">
        <v>709</v>
      </c>
      <c r="C238" s="17" t="s">
        <v>153</v>
      </c>
      <c r="D238" s="23" t="s">
        <v>372</v>
      </c>
      <c r="E238" s="12">
        <v>28888</v>
      </c>
      <c r="F238" s="12">
        <v>36498</v>
      </c>
      <c r="G238" s="61">
        <v>46139</v>
      </c>
      <c r="H238" s="46">
        <v>45742</v>
      </c>
      <c r="I238" s="11">
        <f t="shared" ca="1" si="13"/>
        <v>47</v>
      </c>
      <c r="J238" s="61">
        <f>EDATE(G238-1,36)</f>
        <v>47234</v>
      </c>
      <c r="K238" s="9">
        <f>EDATE(H238-1,12*5)</f>
        <v>47567</v>
      </c>
    </row>
    <row r="239" spans="1:11" x14ac:dyDescent="0.25">
      <c r="A239" s="6">
        <v>24901056</v>
      </c>
      <c r="B239" s="6" t="s">
        <v>606</v>
      </c>
      <c r="C239" s="6" t="s">
        <v>710</v>
      </c>
      <c r="D239" s="6" t="s">
        <v>266</v>
      </c>
      <c r="E239" s="12">
        <v>27794</v>
      </c>
      <c r="F239" s="12">
        <v>37769</v>
      </c>
      <c r="G239" s="59">
        <v>46205</v>
      </c>
      <c r="H239" s="46">
        <v>45527</v>
      </c>
      <c r="I239" s="11">
        <f t="shared" ca="1" si="13"/>
        <v>50</v>
      </c>
      <c r="J239" s="59">
        <f>EDATE(G239-1,36)</f>
        <v>47300</v>
      </c>
      <c r="K239" s="9">
        <f>EDATE(H239-1,12*5)</f>
        <v>47352</v>
      </c>
    </row>
    <row r="240" spans="1:11" x14ac:dyDescent="0.25">
      <c r="A240" s="6">
        <v>24912223</v>
      </c>
      <c r="B240" s="17" t="s">
        <v>711</v>
      </c>
      <c r="C240" s="17" t="s">
        <v>712</v>
      </c>
      <c r="D240" s="6" t="s">
        <v>713</v>
      </c>
      <c r="E240" s="12"/>
      <c r="F240" s="12"/>
      <c r="G240" s="71">
        <v>45552</v>
      </c>
      <c r="H240" s="71">
        <v>45694</v>
      </c>
      <c r="I240" s="11"/>
      <c r="J240" s="59" t="s">
        <v>714</v>
      </c>
      <c r="K240" s="9">
        <f>EDATE(H240-1,12*5)</f>
        <v>47519</v>
      </c>
    </row>
    <row r="241" spans="1:11" x14ac:dyDescent="0.25">
      <c r="A241" s="6">
        <v>24912135</v>
      </c>
      <c r="B241" s="34" t="s">
        <v>715</v>
      </c>
      <c r="C241" s="17" t="s">
        <v>716</v>
      </c>
      <c r="D241" s="6" t="s">
        <v>289</v>
      </c>
      <c r="E241" s="12"/>
      <c r="F241" s="12"/>
      <c r="G241" s="71">
        <v>45552</v>
      </c>
      <c r="H241" s="71">
        <v>45717</v>
      </c>
      <c r="I241" s="11"/>
      <c r="J241" s="59" t="s">
        <v>714</v>
      </c>
      <c r="K241" s="9">
        <f>EDATE(H241-1,12*5)</f>
        <v>47542</v>
      </c>
    </row>
    <row r="242" spans="1:11" x14ac:dyDescent="0.25">
      <c r="A242" s="6">
        <v>92493040</v>
      </c>
      <c r="B242" s="17" t="s">
        <v>717</v>
      </c>
      <c r="C242" s="17" t="s">
        <v>718</v>
      </c>
      <c r="D242" s="6" t="s">
        <v>372</v>
      </c>
      <c r="E242" s="12">
        <v>26846</v>
      </c>
      <c r="F242" s="4" t="s">
        <v>719</v>
      </c>
      <c r="G242" s="59">
        <v>46164</v>
      </c>
      <c r="H242" s="46">
        <v>45094</v>
      </c>
      <c r="I242" s="11">
        <f t="shared" ref="I242:I254" ca="1" si="15">DATEDIF(E242,TODAY(),"y")</f>
        <v>53</v>
      </c>
      <c r="J242" s="92">
        <f t="shared" ref="J242:J248" si="16">EDATE(G242-1,12)</f>
        <v>46528</v>
      </c>
      <c r="K242" s="9">
        <f>EDATE(H242-1,12*5)</f>
        <v>46920</v>
      </c>
    </row>
    <row r="243" spans="1:11" x14ac:dyDescent="0.25">
      <c r="A243" s="6">
        <v>92492996</v>
      </c>
      <c r="B243" s="17" t="s">
        <v>720</v>
      </c>
      <c r="C243" s="17" t="s">
        <v>721</v>
      </c>
      <c r="D243" s="6" t="s">
        <v>105</v>
      </c>
      <c r="E243" s="12">
        <v>26941</v>
      </c>
      <c r="F243" s="12">
        <v>33864</v>
      </c>
      <c r="G243" s="61">
        <v>46150</v>
      </c>
      <c r="H243" s="46">
        <v>45155</v>
      </c>
      <c r="I243" s="11">
        <f t="shared" ca="1" si="15"/>
        <v>52</v>
      </c>
      <c r="J243" s="59">
        <f t="shared" si="16"/>
        <v>46514</v>
      </c>
      <c r="K243" s="9">
        <f>EDATE(H243-1,12*5)</f>
        <v>46981</v>
      </c>
    </row>
    <row r="244" spans="1:11" x14ac:dyDescent="0.25">
      <c r="A244" s="6">
        <v>92493597</v>
      </c>
      <c r="B244" s="17" t="s">
        <v>722</v>
      </c>
      <c r="C244" s="17" t="s">
        <v>723</v>
      </c>
      <c r="D244" s="6" t="s">
        <v>64</v>
      </c>
      <c r="E244" s="12">
        <v>25720</v>
      </c>
      <c r="F244" s="12">
        <v>33823</v>
      </c>
      <c r="G244" s="59">
        <v>45740</v>
      </c>
      <c r="H244" s="46">
        <v>46097</v>
      </c>
      <c r="I244" s="11">
        <f t="shared" ca="1" si="15"/>
        <v>56</v>
      </c>
      <c r="J244" s="59">
        <f t="shared" si="16"/>
        <v>46104</v>
      </c>
      <c r="K244" s="9">
        <f>EDATE(H244-1,12*5)</f>
        <v>47922</v>
      </c>
    </row>
    <row r="245" spans="1:11" x14ac:dyDescent="0.25">
      <c r="A245" s="6">
        <v>92289390</v>
      </c>
      <c r="B245" s="17" t="s">
        <v>724</v>
      </c>
      <c r="C245" s="17" t="s">
        <v>725</v>
      </c>
      <c r="D245" s="6" t="s">
        <v>348</v>
      </c>
      <c r="E245" s="12">
        <v>25014</v>
      </c>
      <c r="F245" s="12">
        <v>32701</v>
      </c>
      <c r="G245" s="59">
        <v>45765</v>
      </c>
      <c r="H245" s="46">
        <v>45145</v>
      </c>
      <c r="I245" s="11">
        <f t="shared" ca="1" si="15"/>
        <v>58</v>
      </c>
      <c r="J245" s="59">
        <f t="shared" si="16"/>
        <v>46129</v>
      </c>
      <c r="K245" s="9">
        <f>EDATE(H245-1,12*5)</f>
        <v>46971</v>
      </c>
    </row>
    <row r="246" spans="1:11" x14ac:dyDescent="0.25">
      <c r="A246" s="6">
        <v>92290442</v>
      </c>
      <c r="B246" s="17" t="s">
        <v>726</v>
      </c>
      <c r="C246" s="17" t="s">
        <v>727</v>
      </c>
      <c r="D246" s="6" t="s">
        <v>124</v>
      </c>
      <c r="E246" s="12">
        <v>25893</v>
      </c>
      <c r="F246" s="12">
        <v>33228</v>
      </c>
      <c r="G246" s="59">
        <v>46071</v>
      </c>
      <c r="H246" s="46">
        <v>44747</v>
      </c>
      <c r="I246" s="11">
        <f t="shared" ca="1" si="15"/>
        <v>55</v>
      </c>
      <c r="J246" s="59">
        <f t="shared" si="16"/>
        <v>46435</v>
      </c>
      <c r="K246" s="9">
        <f>EDATE(H246-1,12*5)</f>
        <v>46572</v>
      </c>
    </row>
    <row r="247" spans="1:11" x14ac:dyDescent="0.25">
      <c r="A247" s="6">
        <v>92304333</v>
      </c>
      <c r="B247" s="17" t="s">
        <v>728</v>
      </c>
      <c r="C247" s="17" t="s">
        <v>729</v>
      </c>
      <c r="D247" s="6" t="s">
        <v>124</v>
      </c>
      <c r="E247" s="12">
        <v>24477</v>
      </c>
      <c r="F247" s="12">
        <v>32542</v>
      </c>
      <c r="G247" s="59">
        <v>46216</v>
      </c>
      <c r="H247" s="46">
        <v>46099</v>
      </c>
      <c r="I247" s="11">
        <f t="shared" ca="1" si="15"/>
        <v>59</v>
      </c>
      <c r="J247" s="92">
        <f t="shared" si="16"/>
        <v>46580</v>
      </c>
      <c r="K247" s="9">
        <f>EDATE(H247-1,12*5)</f>
        <v>47924</v>
      </c>
    </row>
    <row r="248" spans="1:11" x14ac:dyDescent="0.25">
      <c r="A248" s="6">
        <v>92304186</v>
      </c>
      <c r="B248" s="35" t="s">
        <v>730</v>
      </c>
      <c r="C248" s="6" t="s">
        <v>731</v>
      </c>
      <c r="D248" s="6" t="s">
        <v>86</v>
      </c>
      <c r="E248" s="4" t="s">
        <v>732</v>
      </c>
      <c r="F248" s="4" t="s">
        <v>733</v>
      </c>
      <c r="G248" s="61">
        <v>46157</v>
      </c>
      <c r="H248" s="80">
        <v>45797</v>
      </c>
      <c r="I248" s="11">
        <f t="shared" ca="1" si="15"/>
        <v>55</v>
      </c>
      <c r="J248" s="59">
        <f t="shared" si="16"/>
        <v>46521</v>
      </c>
      <c r="K248" s="9">
        <f>EDATE(H248-1,12*5)</f>
        <v>47622</v>
      </c>
    </row>
    <row r="249" spans="1:11" x14ac:dyDescent="0.25">
      <c r="A249" s="6">
        <v>24908332</v>
      </c>
      <c r="B249" s="6" t="s">
        <v>734</v>
      </c>
      <c r="C249" s="6" t="s">
        <v>136</v>
      </c>
      <c r="D249" s="6" t="s">
        <v>362</v>
      </c>
      <c r="E249" s="4" t="s">
        <v>735</v>
      </c>
      <c r="F249" s="4" t="s">
        <v>736</v>
      </c>
      <c r="G249" s="59">
        <v>46139</v>
      </c>
      <c r="H249" s="46">
        <v>44986</v>
      </c>
      <c r="I249" s="11">
        <f t="shared" ca="1" si="15"/>
        <v>49</v>
      </c>
      <c r="J249" s="91">
        <f>EDATE(G249-1,36)</f>
        <v>47234</v>
      </c>
      <c r="K249" s="9">
        <f>EDATE(H249-1,12*5)</f>
        <v>46811</v>
      </c>
    </row>
    <row r="250" spans="1:11" x14ac:dyDescent="0.25">
      <c r="A250" s="6">
        <v>58002974</v>
      </c>
      <c r="B250" s="17" t="s">
        <v>737</v>
      </c>
      <c r="C250" s="17" t="s">
        <v>738</v>
      </c>
      <c r="D250" s="6" t="s">
        <v>362</v>
      </c>
      <c r="E250" s="12">
        <v>36465</v>
      </c>
      <c r="F250" s="12">
        <v>44764</v>
      </c>
      <c r="G250" s="65" t="s">
        <v>513</v>
      </c>
      <c r="H250" s="46">
        <v>44834</v>
      </c>
      <c r="I250" s="11">
        <f t="shared" ca="1" si="15"/>
        <v>26</v>
      </c>
      <c r="J250" s="77" t="s">
        <v>513</v>
      </c>
      <c r="K250" s="9">
        <f>EDATE(H250-1,12*5)</f>
        <v>46659</v>
      </c>
    </row>
    <row r="251" spans="1:11" x14ac:dyDescent="0.25">
      <c r="A251" s="6">
        <v>58008059</v>
      </c>
      <c r="B251" s="17" t="s">
        <v>739</v>
      </c>
      <c r="C251" s="17" t="s">
        <v>740</v>
      </c>
      <c r="D251" s="6" t="s">
        <v>362</v>
      </c>
      <c r="E251" s="12">
        <v>36423</v>
      </c>
      <c r="F251" s="12">
        <v>45063</v>
      </c>
      <c r="G251" s="65" t="s">
        <v>513</v>
      </c>
      <c r="H251" s="46">
        <v>45127</v>
      </c>
      <c r="I251" s="11">
        <f t="shared" ca="1" si="15"/>
        <v>26</v>
      </c>
      <c r="J251" s="77" t="s">
        <v>513</v>
      </c>
      <c r="K251" s="9">
        <f>EDATE(H251-1,12*5)</f>
        <v>46953</v>
      </c>
    </row>
    <row r="252" spans="1:11" x14ac:dyDescent="0.25">
      <c r="A252" s="6">
        <v>24908959</v>
      </c>
      <c r="B252" s="6" t="s">
        <v>741</v>
      </c>
      <c r="C252" s="6" t="s">
        <v>742</v>
      </c>
      <c r="D252" s="6" t="s">
        <v>362</v>
      </c>
      <c r="E252" s="4" t="s">
        <v>743</v>
      </c>
      <c r="F252" s="4" t="s">
        <v>744</v>
      </c>
      <c r="G252" s="59">
        <v>44621</v>
      </c>
      <c r="H252" s="46">
        <v>44674</v>
      </c>
      <c r="I252" s="11">
        <f t="shared" ca="1" si="15"/>
        <v>45</v>
      </c>
      <c r="J252" s="59">
        <f>EDATE(G252-1,60)</f>
        <v>46446</v>
      </c>
      <c r="K252" s="9">
        <f>EDATE(H252-1,12*5)</f>
        <v>46499</v>
      </c>
    </row>
    <row r="253" spans="1:11" x14ac:dyDescent="0.25">
      <c r="A253" s="6">
        <v>24915578</v>
      </c>
      <c r="B253" s="17" t="s">
        <v>745</v>
      </c>
      <c r="C253" s="17" t="s">
        <v>746</v>
      </c>
      <c r="D253" s="23" t="s">
        <v>372</v>
      </c>
      <c r="E253" s="12">
        <v>30498</v>
      </c>
      <c r="F253" s="12">
        <v>43242</v>
      </c>
      <c r="G253" s="59">
        <v>45132</v>
      </c>
      <c r="H253" s="46">
        <v>45429</v>
      </c>
      <c r="I253" s="11">
        <f t="shared" ca="1" si="15"/>
        <v>43</v>
      </c>
      <c r="J253" s="59">
        <f>EDATE(G253-1,60)</f>
        <v>46958</v>
      </c>
      <c r="K253" s="9">
        <f>EDATE(H253-1,12*5)</f>
        <v>47254</v>
      </c>
    </row>
    <row r="254" spans="1:11" x14ac:dyDescent="0.25">
      <c r="A254" s="6">
        <v>92493174</v>
      </c>
      <c r="B254" s="17" t="s">
        <v>747</v>
      </c>
      <c r="C254" s="17" t="s">
        <v>748</v>
      </c>
      <c r="D254" s="6" t="s">
        <v>336</v>
      </c>
      <c r="E254" s="4" t="s">
        <v>749</v>
      </c>
      <c r="F254" s="12">
        <v>37380</v>
      </c>
      <c r="G254" s="72">
        <v>43876</v>
      </c>
      <c r="H254" s="46">
        <v>44277</v>
      </c>
      <c r="I254" s="11">
        <f t="shared" ca="1" si="15"/>
        <v>46</v>
      </c>
      <c r="J254" s="72">
        <f>EDATE(G254-1,36)</f>
        <v>44971</v>
      </c>
      <c r="K254" s="9">
        <f>EDATE(H254-1,12*5)</f>
        <v>46102</v>
      </c>
    </row>
    <row r="255" spans="1:11" x14ac:dyDescent="0.25">
      <c r="A255" s="6">
        <v>92493062</v>
      </c>
      <c r="B255" s="17" t="s">
        <v>750</v>
      </c>
      <c r="C255" s="17" t="s">
        <v>751</v>
      </c>
      <c r="D255" s="6" t="s">
        <v>333</v>
      </c>
      <c r="E255" s="12">
        <v>26299</v>
      </c>
      <c r="F255" s="4" t="s">
        <v>263</v>
      </c>
      <c r="G255" s="73" t="s">
        <v>752</v>
      </c>
      <c r="I255" s="11">
        <f ca="1">DATEDIF(E255,TODAY(),"y")</f>
        <v>54</v>
      </c>
      <c r="J255" s="77" t="s">
        <v>753</v>
      </c>
      <c r="K255" s="36" t="e">
        <f>EDATE(H255-1,12*5)</f>
        <v>#NUM!</v>
      </c>
    </row>
    <row r="256" spans="1:11" x14ac:dyDescent="0.25">
      <c r="A256" s="52">
        <v>92292639</v>
      </c>
      <c r="B256" s="29" t="s">
        <v>754</v>
      </c>
      <c r="C256" s="29" t="s">
        <v>755</v>
      </c>
      <c r="D256" s="29" t="s">
        <v>756</v>
      </c>
      <c r="E256" s="8"/>
      <c r="F256" s="8"/>
      <c r="G256" s="59">
        <v>46113</v>
      </c>
      <c r="H256" s="46">
        <v>45749</v>
      </c>
      <c r="I256" s="11"/>
      <c r="J256" s="59" t="s">
        <v>714</v>
      </c>
      <c r="K256" s="9">
        <f>EDATE(H256-1,12*5)</f>
        <v>47574</v>
      </c>
    </row>
    <row r="257" spans="1:11" x14ac:dyDescent="0.25">
      <c r="A257" s="52">
        <v>92289552</v>
      </c>
      <c r="B257" s="29" t="s">
        <v>757</v>
      </c>
      <c r="C257" s="29" t="s">
        <v>758</v>
      </c>
      <c r="D257" s="29" t="s">
        <v>759</v>
      </c>
      <c r="E257" s="8"/>
      <c r="F257" s="8"/>
      <c r="G257" s="59">
        <v>45481</v>
      </c>
      <c r="H257" s="46">
        <v>45385</v>
      </c>
      <c r="I257" s="11"/>
      <c r="J257" s="59" t="s">
        <v>714</v>
      </c>
      <c r="K257" s="9">
        <f>EDATE(H257-1,12*5)</f>
        <v>47210</v>
      </c>
    </row>
    <row r="258" spans="1:11" x14ac:dyDescent="0.25">
      <c r="A258" s="52">
        <v>92492963</v>
      </c>
      <c r="B258" s="29" t="s">
        <v>760</v>
      </c>
      <c r="C258" s="29" t="s">
        <v>761</v>
      </c>
      <c r="D258" s="29" t="s">
        <v>762</v>
      </c>
      <c r="E258" s="8"/>
      <c r="F258" s="8"/>
      <c r="G258" s="59">
        <v>45516</v>
      </c>
      <c r="H258" s="46">
        <v>45567</v>
      </c>
      <c r="I258" s="11"/>
      <c r="J258" s="59" t="s">
        <v>714</v>
      </c>
      <c r="K258" s="9">
        <f>EDATE(H258-1,12*5)</f>
        <v>47392</v>
      </c>
    </row>
    <row r="259" spans="1:11" x14ac:dyDescent="0.25">
      <c r="A259" s="52">
        <v>24902608</v>
      </c>
      <c r="B259" s="29" t="s">
        <v>763</v>
      </c>
      <c r="C259" s="29" t="s">
        <v>764</v>
      </c>
      <c r="D259" s="29" t="s">
        <v>765</v>
      </c>
      <c r="E259" s="8"/>
      <c r="F259" s="8"/>
      <c r="G259" s="59">
        <v>45145</v>
      </c>
      <c r="H259" s="87" t="s">
        <v>766</v>
      </c>
      <c r="I259" s="11"/>
      <c r="J259" s="59" t="s">
        <v>714</v>
      </c>
      <c r="K259" s="9" t="e">
        <f>EDATE(H259-1,12*5)</f>
        <v>#VALUE!</v>
      </c>
    </row>
    <row r="260" spans="1:11" x14ac:dyDescent="0.25">
      <c r="A260" s="52">
        <v>92291237</v>
      </c>
      <c r="B260" s="29" t="s">
        <v>767</v>
      </c>
      <c r="C260" s="29" t="s">
        <v>768</v>
      </c>
      <c r="D260" s="29" t="s">
        <v>769</v>
      </c>
      <c r="E260" s="8"/>
      <c r="F260" s="8"/>
      <c r="G260" s="59">
        <v>45096</v>
      </c>
      <c r="H260" s="87"/>
      <c r="I260" s="11"/>
      <c r="J260" s="59" t="s">
        <v>714</v>
      </c>
      <c r="K260" s="9" t="e">
        <f>EDATE(H260-1,12*5)</f>
        <v>#NUM!</v>
      </c>
    </row>
    <row r="261" spans="1:11" x14ac:dyDescent="0.25">
      <c r="A261" s="53">
        <v>92493630</v>
      </c>
      <c r="B261" s="37" t="s">
        <v>770</v>
      </c>
      <c r="C261" s="37" t="s">
        <v>771</v>
      </c>
      <c r="D261" s="37" t="s">
        <v>772</v>
      </c>
      <c r="E261" s="8"/>
      <c r="F261" s="8"/>
      <c r="G261" s="59">
        <v>44830</v>
      </c>
      <c r="H261" s="46">
        <v>44487</v>
      </c>
      <c r="I261" s="11"/>
      <c r="J261" s="59" t="s">
        <v>714</v>
      </c>
      <c r="K261" s="9">
        <f>EDATE(H261-1,12*5)</f>
        <v>46312</v>
      </c>
    </row>
    <row r="262" spans="1:11" x14ac:dyDescent="0.25">
      <c r="A262" s="52">
        <v>24913722</v>
      </c>
      <c r="B262" s="29" t="s">
        <v>773</v>
      </c>
      <c r="C262" s="29" t="s">
        <v>774</v>
      </c>
      <c r="D262" s="29" t="s">
        <v>775</v>
      </c>
      <c r="E262" s="8"/>
      <c r="F262" s="8"/>
      <c r="G262" s="60">
        <v>45712</v>
      </c>
      <c r="H262" s="71">
        <v>45773</v>
      </c>
      <c r="I262" s="11"/>
      <c r="J262" s="59" t="s">
        <v>714</v>
      </c>
      <c r="K262" s="9">
        <f>EDATE(H262-1,12*5)</f>
        <v>47598</v>
      </c>
    </row>
    <row r="263" spans="1:11" x14ac:dyDescent="0.25">
      <c r="A263" s="53">
        <v>92290475</v>
      </c>
      <c r="B263" s="37" t="s">
        <v>776</v>
      </c>
      <c r="C263" s="37" t="s">
        <v>287</v>
      </c>
      <c r="D263" s="37" t="s">
        <v>777</v>
      </c>
      <c r="E263" s="8"/>
      <c r="F263" s="8"/>
      <c r="G263" s="59">
        <v>45131</v>
      </c>
      <c r="H263" s="46">
        <v>45167</v>
      </c>
      <c r="I263" s="11"/>
      <c r="J263" s="59" t="s">
        <v>714</v>
      </c>
      <c r="K263" s="9">
        <f>EDATE(H263-1,12*5)</f>
        <v>46993</v>
      </c>
    </row>
    <row r="264" spans="1:11" x14ac:dyDescent="0.25">
      <c r="A264" s="6">
        <v>92291288</v>
      </c>
      <c r="B264" s="17" t="s">
        <v>778</v>
      </c>
      <c r="C264" s="17" t="s">
        <v>779</v>
      </c>
      <c r="D264" s="6" t="s">
        <v>780</v>
      </c>
      <c r="E264" s="12">
        <v>24796</v>
      </c>
      <c r="F264" s="12">
        <v>32791</v>
      </c>
      <c r="G264" s="59">
        <v>45916</v>
      </c>
      <c r="H264" s="46">
        <v>45335</v>
      </c>
      <c r="I264" s="11">
        <f ca="1">DATEDIF(E264,TODAY(),"y")</f>
        <v>58</v>
      </c>
      <c r="J264" s="92">
        <f>EDATE(G264-1,12)</f>
        <v>46280</v>
      </c>
      <c r="K264" s="9">
        <f>EDATE(H264-1,12*5)</f>
        <v>47161</v>
      </c>
    </row>
    <row r="265" spans="1:11" x14ac:dyDescent="0.25">
      <c r="A265" s="6">
        <v>92493082</v>
      </c>
      <c r="B265" s="6" t="s">
        <v>781</v>
      </c>
      <c r="C265" s="6" t="s">
        <v>782</v>
      </c>
      <c r="D265" s="6" t="s">
        <v>60</v>
      </c>
      <c r="E265" s="4" t="s">
        <v>783</v>
      </c>
      <c r="F265" s="4" t="s">
        <v>784</v>
      </c>
      <c r="G265" s="74">
        <v>45855</v>
      </c>
      <c r="H265" s="88">
        <v>45642</v>
      </c>
      <c r="I265" s="2">
        <f ca="1">DATEDIF(E265,TODAY(),"y")</f>
        <v>59</v>
      </c>
      <c r="J265" s="92">
        <f>EDATE(G265-1,12)</f>
        <v>46219</v>
      </c>
      <c r="K265" s="9">
        <f>EDATE(H265-1,12*5)</f>
        <v>47467</v>
      </c>
    </row>
    <row r="266" spans="1:11" x14ac:dyDescent="0.25">
      <c r="A266" s="6"/>
      <c r="B266" s="6" t="s">
        <v>785</v>
      </c>
      <c r="C266" s="6" t="s">
        <v>786</v>
      </c>
      <c r="D266" s="6" t="s">
        <v>787</v>
      </c>
      <c r="E266" s="4"/>
      <c r="F266" s="4"/>
      <c r="G266" s="75"/>
      <c r="H266" s="59"/>
      <c r="I266" s="11"/>
      <c r="J266" s="93" t="s">
        <v>714</v>
      </c>
      <c r="K266" s="9"/>
    </row>
    <row r="267" spans="1:11" x14ac:dyDescent="0.25">
      <c r="A267" s="53">
        <v>92290393</v>
      </c>
      <c r="B267" s="37" t="s">
        <v>788</v>
      </c>
      <c r="C267" s="37" t="s">
        <v>789</v>
      </c>
      <c r="D267" s="37" t="s">
        <v>765</v>
      </c>
      <c r="E267" s="8"/>
      <c r="F267" s="8"/>
      <c r="G267" s="71">
        <v>45531</v>
      </c>
      <c r="H267" s="89">
        <v>45334</v>
      </c>
      <c r="I267" s="11"/>
      <c r="J267" s="59" t="s">
        <v>714</v>
      </c>
      <c r="K267" s="9">
        <f>EDATE(H267-1,12*5)</f>
        <v>47160</v>
      </c>
    </row>
    <row r="268" spans="1:11" x14ac:dyDescent="0.25">
      <c r="A268" s="53">
        <v>92493354</v>
      </c>
      <c r="B268" s="37" t="s">
        <v>790</v>
      </c>
      <c r="C268" s="37" t="s">
        <v>791</v>
      </c>
      <c r="D268" s="37" t="s">
        <v>787</v>
      </c>
      <c r="E268" s="8"/>
      <c r="F268" s="8"/>
      <c r="G268" s="59">
        <v>45835</v>
      </c>
      <c r="H268" s="46">
        <v>45133</v>
      </c>
      <c r="I268" s="11"/>
      <c r="J268" s="59" t="s">
        <v>714</v>
      </c>
      <c r="K268" s="9">
        <f>EDATE(H268-1,12*5)</f>
        <v>46959</v>
      </c>
    </row>
    <row r="269" spans="1:11" x14ac:dyDescent="0.25">
      <c r="A269" s="54">
        <v>92494056</v>
      </c>
      <c r="B269" s="37" t="s">
        <v>792</v>
      </c>
      <c r="C269" s="38" t="s">
        <v>793</v>
      </c>
      <c r="D269" s="38" t="s">
        <v>794</v>
      </c>
      <c r="E269" s="8"/>
      <c r="F269" s="8"/>
      <c r="G269" s="59">
        <v>44599</v>
      </c>
      <c r="H269" s="46">
        <v>44363</v>
      </c>
      <c r="I269" s="11"/>
      <c r="J269" s="59" t="s">
        <v>714</v>
      </c>
      <c r="K269" s="9">
        <f>EDATE(H269-1,12*5)</f>
        <v>46188</v>
      </c>
    </row>
    <row r="270" spans="1:11" x14ac:dyDescent="0.25">
      <c r="A270" s="6">
        <v>22747729</v>
      </c>
      <c r="B270" s="6" t="s">
        <v>795</v>
      </c>
      <c r="C270" s="6" t="s">
        <v>796</v>
      </c>
      <c r="D270" s="6" t="s">
        <v>13</v>
      </c>
      <c r="E270" s="4" t="s">
        <v>797</v>
      </c>
      <c r="F270" s="4" t="s">
        <v>798</v>
      </c>
      <c r="G270" s="61">
        <v>45434</v>
      </c>
      <c r="H270" s="80">
        <v>45871</v>
      </c>
      <c r="I270" s="11">
        <f ca="1">DATEDIF(E270,TODAY(),"y")</f>
        <v>46</v>
      </c>
      <c r="J270" s="59">
        <f>EDATE(G270-1,36)</f>
        <v>46528</v>
      </c>
      <c r="K270" s="9">
        <f>EDATE(H270-1,12*5)</f>
        <v>47696</v>
      </c>
    </row>
    <row r="271" spans="1:11" x14ac:dyDescent="0.25">
      <c r="A271" s="40">
        <v>24902062</v>
      </c>
      <c r="B271" s="40" t="s">
        <v>799</v>
      </c>
      <c r="C271" s="40" t="s">
        <v>800</v>
      </c>
      <c r="D271" s="40" t="s">
        <v>60</v>
      </c>
      <c r="E271" s="39" t="s">
        <v>801</v>
      </c>
      <c r="F271" s="39" t="s">
        <v>802</v>
      </c>
      <c r="G271" s="59">
        <v>45147</v>
      </c>
      <c r="H271" s="46">
        <v>46233</v>
      </c>
      <c r="I271" s="11">
        <f ca="1">DATEDIF(E271,TODAY(),"y")</f>
        <v>40</v>
      </c>
      <c r="J271" s="59">
        <f>EDATE(G271-1,60)</f>
        <v>46973</v>
      </c>
      <c r="K271" s="9">
        <f>EDATE(H271-1,12*5)</f>
        <v>48058</v>
      </c>
    </row>
    <row r="272" spans="1:11" x14ac:dyDescent="0.25">
      <c r="A272" s="6">
        <v>92493400</v>
      </c>
      <c r="B272" s="6" t="s">
        <v>803</v>
      </c>
      <c r="C272" s="6" t="s">
        <v>804</v>
      </c>
      <c r="D272" s="6" t="s">
        <v>60</v>
      </c>
      <c r="E272" s="12">
        <v>27766</v>
      </c>
      <c r="F272" s="4" t="s">
        <v>805</v>
      </c>
      <c r="G272" s="59">
        <v>45034</v>
      </c>
      <c r="H272" s="46">
        <v>46193</v>
      </c>
      <c r="I272" s="11">
        <f ca="1">DATEDIF(E272,TODAY(),"y")</f>
        <v>50</v>
      </c>
      <c r="J272" s="59">
        <f>EDATE(G272-1,36)</f>
        <v>46129</v>
      </c>
      <c r="K272" s="9">
        <f>EDATE(H272-1,12*5)</f>
        <v>48018</v>
      </c>
    </row>
    <row r="273" spans="1:11" x14ac:dyDescent="0.25">
      <c r="A273" s="6">
        <v>92493555</v>
      </c>
      <c r="B273" s="17" t="s">
        <v>806</v>
      </c>
      <c r="C273" s="17" t="s">
        <v>807</v>
      </c>
      <c r="D273" s="6" t="s">
        <v>808</v>
      </c>
      <c r="E273" s="4" t="s">
        <v>809</v>
      </c>
      <c r="F273" s="4" t="s">
        <v>810</v>
      </c>
      <c r="G273" s="59">
        <v>46209</v>
      </c>
      <c r="H273" s="46">
        <v>45366</v>
      </c>
      <c r="I273" s="11">
        <f ca="1">DATEDIF(E273,TODAY(),"y")</f>
        <v>57</v>
      </c>
      <c r="J273" s="59">
        <f>EDATE(G273-1,12)</f>
        <v>46573</v>
      </c>
      <c r="K273" s="9">
        <f>EDATE(H273-1,12*5)</f>
        <v>47191</v>
      </c>
    </row>
    <row r="274" spans="1:11" x14ac:dyDescent="0.25">
      <c r="A274" s="6">
        <v>92493053</v>
      </c>
      <c r="B274" s="17" t="s">
        <v>811</v>
      </c>
      <c r="C274" s="17" t="s">
        <v>812</v>
      </c>
      <c r="D274" s="6" t="s">
        <v>333</v>
      </c>
      <c r="E274" s="4" t="s">
        <v>813</v>
      </c>
      <c r="F274" s="12">
        <v>34124</v>
      </c>
      <c r="G274" s="59">
        <v>46045</v>
      </c>
      <c r="H274" s="46">
        <v>44597</v>
      </c>
      <c r="I274" s="11">
        <f t="shared" ref="I274:I331" ca="1" si="17">DATEDIF(E274,TODAY(),"y")</f>
        <v>57</v>
      </c>
      <c r="J274" s="72">
        <f>EDATE(G274-1,12)</f>
        <v>46409</v>
      </c>
      <c r="K274" s="9">
        <f>EDATE(H274-1,12*5)</f>
        <v>46422</v>
      </c>
    </row>
    <row r="275" spans="1:11" x14ac:dyDescent="0.25">
      <c r="A275" s="6">
        <v>92404455</v>
      </c>
      <c r="B275" s="17" t="s">
        <v>814</v>
      </c>
      <c r="C275" s="17" t="s">
        <v>815</v>
      </c>
      <c r="D275" s="6" t="s">
        <v>124</v>
      </c>
      <c r="E275" s="12">
        <v>24760</v>
      </c>
      <c r="F275" s="4" t="s">
        <v>816</v>
      </c>
      <c r="G275" s="59">
        <v>46045</v>
      </c>
      <c r="H275" s="46">
        <v>45875</v>
      </c>
      <c r="I275" s="11">
        <f t="shared" ca="1" si="17"/>
        <v>58</v>
      </c>
      <c r="J275" s="72">
        <f>EDATE(G275-1,12)</f>
        <v>46409</v>
      </c>
      <c r="K275" s="9">
        <f>EDATE(H275-1,12*5)</f>
        <v>47700</v>
      </c>
    </row>
    <row r="276" spans="1:11" x14ac:dyDescent="0.25">
      <c r="A276" s="6">
        <v>24901363</v>
      </c>
      <c r="B276" s="6" t="s">
        <v>817</v>
      </c>
      <c r="C276" s="6" t="s">
        <v>818</v>
      </c>
      <c r="D276" s="6" t="s">
        <v>60</v>
      </c>
      <c r="E276" s="12">
        <v>30343</v>
      </c>
      <c r="F276" s="4" t="s">
        <v>819</v>
      </c>
      <c r="G276" s="59">
        <v>45058</v>
      </c>
      <c r="H276" s="46">
        <v>45832</v>
      </c>
      <c r="I276" s="11">
        <f t="shared" ca="1" si="17"/>
        <v>43</v>
      </c>
      <c r="J276" s="59">
        <f>EDATE(G276-1,60)</f>
        <v>46884</v>
      </c>
      <c r="K276" s="24">
        <f>EDATE(H276-1,12*5)</f>
        <v>47657</v>
      </c>
    </row>
    <row r="277" spans="1:11" x14ac:dyDescent="0.25">
      <c r="A277" s="6">
        <v>92291188</v>
      </c>
      <c r="B277" s="6" t="s">
        <v>820</v>
      </c>
      <c r="C277" s="6" t="s">
        <v>821</v>
      </c>
      <c r="D277" s="6" t="s">
        <v>105</v>
      </c>
      <c r="E277" s="4" t="s">
        <v>822</v>
      </c>
      <c r="F277" s="4" t="s">
        <v>823</v>
      </c>
      <c r="G277" s="59">
        <v>46049</v>
      </c>
      <c r="H277" s="46">
        <v>45727</v>
      </c>
      <c r="I277" s="11">
        <f t="shared" ca="1" si="17"/>
        <v>57</v>
      </c>
      <c r="J277" s="72">
        <f>EDATE(G277-1,12)</f>
        <v>46413</v>
      </c>
      <c r="K277" s="9">
        <f>EDATE(H277-1,12*5)</f>
        <v>47552</v>
      </c>
    </row>
    <row r="278" spans="1:11" x14ac:dyDescent="0.25">
      <c r="A278" s="6">
        <v>92289990</v>
      </c>
      <c r="B278" s="20" t="s">
        <v>824</v>
      </c>
      <c r="C278" s="6" t="s">
        <v>825</v>
      </c>
      <c r="D278" s="6" t="s">
        <v>118</v>
      </c>
      <c r="E278" s="12">
        <v>29293</v>
      </c>
      <c r="F278" s="12">
        <v>36817</v>
      </c>
      <c r="G278" s="59">
        <v>45183</v>
      </c>
      <c r="H278" s="46">
        <v>45726</v>
      </c>
      <c r="I278" s="11">
        <f t="shared" ca="1" si="17"/>
        <v>46</v>
      </c>
      <c r="J278" s="59">
        <f>EDATE(G278-1,36)</f>
        <v>46278</v>
      </c>
      <c r="K278" s="9">
        <f>EDATE(H278-1,12*5)</f>
        <v>47551</v>
      </c>
    </row>
    <row r="279" spans="1:11" x14ac:dyDescent="0.25">
      <c r="A279" s="6">
        <v>92492939</v>
      </c>
      <c r="B279" s="17" t="s">
        <v>826</v>
      </c>
      <c r="C279" s="17" t="s">
        <v>827</v>
      </c>
      <c r="D279" s="6" t="s">
        <v>124</v>
      </c>
      <c r="E279" s="4" t="s">
        <v>828</v>
      </c>
      <c r="F279" s="12">
        <v>33090</v>
      </c>
      <c r="G279" s="59">
        <v>46100</v>
      </c>
      <c r="H279" s="46">
        <v>45784</v>
      </c>
      <c r="I279" s="11">
        <f t="shared" ca="1" si="17"/>
        <v>56</v>
      </c>
      <c r="J279" s="91">
        <f t="shared" ref="J279:J285" si="18">EDATE(G279-1,12)</f>
        <v>46464</v>
      </c>
      <c r="K279" s="9">
        <f>EDATE(H279-1,12*5)</f>
        <v>47609</v>
      </c>
    </row>
    <row r="280" spans="1:11" x14ac:dyDescent="0.25">
      <c r="A280" s="6">
        <v>92290919</v>
      </c>
      <c r="B280" s="17" t="s">
        <v>829</v>
      </c>
      <c r="C280" s="17" t="s">
        <v>830</v>
      </c>
      <c r="D280" s="6" t="s">
        <v>289</v>
      </c>
      <c r="E280" s="12">
        <v>25513</v>
      </c>
      <c r="F280" s="4" t="s">
        <v>831</v>
      </c>
      <c r="G280" s="59">
        <v>46128</v>
      </c>
      <c r="H280" s="80">
        <v>45793</v>
      </c>
      <c r="I280" s="11">
        <f t="shared" ca="1" si="17"/>
        <v>56</v>
      </c>
      <c r="J280" s="59">
        <f t="shared" si="18"/>
        <v>46492</v>
      </c>
      <c r="K280" s="9">
        <f>EDATE(H280-1,12*5)</f>
        <v>47618</v>
      </c>
    </row>
    <row r="281" spans="1:11" x14ac:dyDescent="0.25">
      <c r="A281" s="6">
        <v>92493286</v>
      </c>
      <c r="B281" s="17" t="s">
        <v>832</v>
      </c>
      <c r="C281" s="17" t="s">
        <v>833</v>
      </c>
      <c r="D281" s="6" t="s">
        <v>289</v>
      </c>
      <c r="E281" s="4" t="s">
        <v>834</v>
      </c>
      <c r="F281" s="12">
        <v>32852</v>
      </c>
      <c r="G281" s="59">
        <v>46134</v>
      </c>
      <c r="H281" s="46">
        <v>44677</v>
      </c>
      <c r="I281" s="11">
        <f t="shared" ca="1" si="17"/>
        <v>56</v>
      </c>
      <c r="J281" s="59">
        <f t="shared" si="18"/>
        <v>46498</v>
      </c>
      <c r="K281" s="9">
        <f>EDATE(H281-1,12*5)</f>
        <v>46502</v>
      </c>
    </row>
    <row r="282" spans="1:11" x14ac:dyDescent="0.25">
      <c r="A282" s="6">
        <v>92303247</v>
      </c>
      <c r="B282" s="17" t="s">
        <v>835</v>
      </c>
      <c r="C282" s="17" t="s">
        <v>836</v>
      </c>
      <c r="D282" s="6" t="s">
        <v>289</v>
      </c>
      <c r="E282" s="12">
        <v>24484</v>
      </c>
      <c r="F282" s="4" t="s">
        <v>837</v>
      </c>
      <c r="G282" s="59">
        <v>46185</v>
      </c>
      <c r="H282" s="46">
        <v>46213</v>
      </c>
      <c r="I282" s="11">
        <f t="shared" ca="1" si="17"/>
        <v>59</v>
      </c>
      <c r="J282" s="91">
        <f t="shared" si="18"/>
        <v>46549</v>
      </c>
      <c r="K282" s="9">
        <f>EDATE(H282-1,12*5)</f>
        <v>48038</v>
      </c>
    </row>
    <row r="283" spans="1:11" x14ac:dyDescent="0.25">
      <c r="A283" s="6">
        <v>92493612</v>
      </c>
      <c r="B283" s="41" t="s">
        <v>838</v>
      </c>
      <c r="C283" s="17" t="s">
        <v>725</v>
      </c>
      <c r="D283" s="6" t="s">
        <v>270</v>
      </c>
      <c r="E283" s="12">
        <v>25570</v>
      </c>
      <c r="F283" s="4" t="s">
        <v>839</v>
      </c>
      <c r="G283" s="59">
        <v>46209</v>
      </c>
      <c r="H283" s="46">
        <v>45744</v>
      </c>
      <c r="I283" s="11">
        <f t="shared" ca="1" si="17"/>
        <v>56</v>
      </c>
      <c r="J283" s="72">
        <f t="shared" si="18"/>
        <v>46573</v>
      </c>
      <c r="K283" s="9">
        <f>EDATE(H283-1,12*5)</f>
        <v>47569</v>
      </c>
    </row>
    <row r="284" spans="1:11" x14ac:dyDescent="0.25">
      <c r="A284" s="6">
        <v>92291212</v>
      </c>
      <c r="B284" s="42" t="s">
        <v>342</v>
      </c>
      <c r="C284" s="17" t="s">
        <v>483</v>
      </c>
      <c r="D284" s="6" t="s">
        <v>372</v>
      </c>
      <c r="E284" s="12">
        <v>25236</v>
      </c>
      <c r="F284" s="4" t="s">
        <v>840</v>
      </c>
      <c r="G284" s="76">
        <v>46150</v>
      </c>
      <c r="H284" s="84">
        <v>46093</v>
      </c>
      <c r="I284" s="11">
        <f t="shared" ca="1" si="17"/>
        <v>57</v>
      </c>
      <c r="J284" s="59">
        <f t="shared" si="18"/>
        <v>46514</v>
      </c>
      <c r="K284" s="24">
        <f>EDATE(H284-1,12*5)</f>
        <v>47918</v>
      </c>
    </row>
    <row r="285" spans="1:11" x14ac:dyDescent="0.25">
      <c r="A285" s="6">
        <v>92493603</v>
      </c>
      <c r="B285" s="6" t="s">
        <v>841</v>
      </c>
      <c r="C285" s="6" t="s">
        <v>842</v>
      </c>
      <c r="D285" s="6" t="s">
        <v>362</v>
      </c>
      <c r="E285" s="4" t="s">
        <v>68</v>
      </c>
      <c r="F285" s="4" t="s">
        <v>843</v>
      </c>
      <c r="G285" s="59">
        <v>46049</v>
      </c>
      <c r="H285" s="46">
        <v>45435</v>
      </c>
      <c r="I285" s="11">
        <f t="shared" ca="1" si="17"/>
        <v>56</v>
      </c>
      <c r="J285" s="72">
        <f t="shared" si="18"/>
        <v>46413</v>
      </c>
      <c r="K285" s="9">
        <f>EDATE(H285-1,12*5)</f>
        <v>47260</v>
      </c>
    </row>
    <row r="286" spans="1:11" x14ac:dyDescent="0.25">
      <c r="A286" s="6">
        <v>24904040</v>
      </c>
      <c r="B286" s="6" t="s">
        <v>136</v>
      </c>
      <c r="C286" s="6" t="s">
        <v>844</v>
      </c>
      <c r="D286" s="6" t="s">
        <v>362</v>
      </c>
      <c r="E286" s="4" t="s">
        <v>845</v>
      </c>
      <c r="F286" s="4" t="s">
        <v>846</v>
      </c>
      <c r="G286" s="59">
        <v>45854</v>
      </c>
      <c r="H286" s="46">
        <v>45435</v>
      </c>
      <c r="I286" s="11">
        <f t="shared" ca="1" si="17"/>
        <v>48</v>
      </c>
      <c r="J286" s="59">
        <f>EDATE(G286-1,36)</f>
        <v>46949</v>
      </c>
      <c r="K286" s="9">
        <f>EDATE(H286-1,12*5)</f>
        <v>47260</v>
      </c>
    </row>
    <row r="287" spans="1:11" x14ac:dyDescent="0.25">
      <c r="A287" s="6">
        <v>92493295</v>
      </c>
      <c r="B287" s="6" t="s">
        <v>847</v>
      </c>
      <c r="C287" s="6" t="s">
        <v>17</v>
      </c>
      <c r="D287" s="6" t="s">
        <v>411</v>
      </c>
      <c r="E287" s="4" t="s">
        <v>848</v>
      </c>
      <c r="F287" s="4" t="s">
        <v>849</v>
      </c>
      <c r="G287" s="59">
        <v>46050</v>
      </c>
      <c r="H287" s="46">
        <v>45531</v>
      </c>
      <c r="I287" s="11">
        <f t="shared" ca="1" si="17"/>
        <v>57</v>
      </c>
      <c r="J287" s="72">
        <f>EDATE(G287-1,12)</f>
        <v>46414</v>
      </c>
      <c r="K287" s="9">
        <f>EDATE(H287-1,12*5)</f>
        <v>47356</v>
      </c>
    </row>
    <row r="288" spans="1:11" x14ac:dyDescent="0.25">
      <c r="A288" s="6"/>
      <c r="B288" s="18"/>
      <c r="C288" s="6"/>
      <c r="D288" s="6"/>
      <c r="E288" s="12"/>
      <c r="F288" s="4"/>
      <c r="G288" s="59"/>
      <c r="H288" s="46"/>
      <c r="I288" s="11"/>
      <c r="J288" s="92"/>
      <c r="K288" s="9" t="e">
        <f>EDATE(H288-1,12*5)</f>
        <v>#NUM!</v>
      </c>
    </row>
    <row r="289" spans="1:11" x14ac:dyDescent="0.25">
      <c r="A289" s="6">
        <v>92311302</v>
      </c>
      <c r="B289" s="6" t="s">
        <v>850</v>
      </c>
      <c r="C289" s="6" t="s">
        <v>851</v>
      </c>
      <c r="D289" s="6" t="s">
        <v>13</v>
      </c>
      <c r="E289" s="12">
        <v>27942</v>
      </c>
      <c r="F289" s="4" t="s">
        <v>852</v>
      </c>
      <c r="G289" s="59">
        <v>46147</v>
      </c>
      <c r="H289" s="46">
        <v>45359</v>
      </c>
      <c r="I289" s="11">
        <f t="shared" ca="1" si="17"/>
        <v>50</v>
      </c>
      <c r="J289" s="59">
        <f>EDATE(G289-1,36)</f>
        <v>47242</v>
      </c>
      <c r="K289" s="9">
        <f>EDATE(H289-1,12*5)</f>
        <v>47184</v>
      </c>
    </row>
    <row r="290" spans="1:11" x14ac:dyDescent="0.25">
      <c r="A290" s="6">
        <v>92289582</v>
      </c>
      <c r="B290" s="6" t="s">
        <v>853</v>
      </c>
      <c r="C290" s="6" t="s">
        <v>854</v>
      </c>
      <c r="D290" s="6" t="s">
        <v>13</v>
      </c>
      <c r="E290" s="12">
        <v>28388</v>
      </c>
      <c r="F290" s="33">
        <v>35161</v>
      </c>
      <c r="G290" s="59">
        <v>45394</v>
      </c>
      <c r="H290" s="71">
        <v>45749</v>
      </c>
      <c r="I290" s="11">
        <f t="shared" ca="1" si="17"/>
        <v>48</v>
      </c>
      <c r="J290" s="59">
        <f>EDATE(G290-1,36)</f>
        <v>46488</v>
      </c>
      <c r="K290" s="9">
        <f>EDATE(H290-1,12*5)</f>
        <v>47574</v>
      </c>
    </row>
    <row r="291" spans="1:11" x14ac:dyDescent="0.25">
      <c r="A291" s="6">
        <v>92290914</v>
      </c>
      <c r="B291" s="6" t="s">
        <v>108</v>
      </c>
      <c r="C291" s="6" t="s">
        <v>855</v>
      </c>
      <c r="D291" s="6" t="s">
        <v>35</v>
      </c>
      <c r="E291" s="12">
        <v>28247</v>
      </c>
      <c r="F291" s="33">
        <v>36187</v>
      </c>
      <c r="G291" s="59">
        <v>45812</v>
      </c>
      <c r="H291" s="46">
        <v>45076</v>
      </c>
      <c r="I291" s="11">
        <f t="shared" ca="1" si="17"/>
        <v>49</v>
      </c>
      <c r="J291" s="59">
        <f>EDATE(G291-1,36)</f>
        <v>46907</v>
      </c>
      <c r="K291" s="9">
        <f>EDATE(H291-1,12*5)</f>
        <v>46902</v>
      </c>
    </row>
    <row r="292" spans="1:11" x14ac:dyDescent="0.25">
      <c r="A292" s="6">
        <v>92290283</v>
      </c>
      <c r="B292" s="6" t="s">
        <v>856</v>
      </c>
      <c r="C292" s="6" t="s">
        <v>857</v>
      </c>
      <c r="D292" s="6" t="s">
        <v>35</v>
      </c>
      <c r="E292" s="12">
        <v>28663</v>
      </c>
      <c r="F292" s="33">
        <v>36048</v>
      </c>
      <c r="G292" s="59">
        <v>45831</v>
      </c>
      <c r="H292" s="46">
        <v>45409</v>
      </c>
      <c r="I292" s="11">
        <f t="shared" ca="1" si="17"/>
        <v>48</v>
      </c>
      <c r="J292" s="59">
        <f>EDATE(G292-1,36)</f>
        <v>46926</v>
      </c>
      <c r="K292" s="9">
        <f>EDATE(H292-1,12*5)</f>
        <v>47234</v>
      </c>
    </row>
    <row r="293" spans="1:11" x14ac:dyDescent="0.25">
      <c r="A293" s="6">
        <v>92493048</v>
      </c>
      <c r="B293" s="6" t="s">
        <v>858</v>
      </c>
      <c r="C293" s="6" t="s">
        <v>779</v>
      </c>
      <c r="D293" s="6" t="s">
        <v>18</v>
      </c>
      <c r="E293" s="4" t="s">
        <v>859</v>
      </c>
      <c r="F293" s="4" t="s">
        <v>860</v>
      </c>
      <c r="G293" s="59">
        <v>46062</v>
      </c>
      <c r="H293" s="46">
        <v>45512</v>
      </c>
      <c r="I293" s="11">
        <f t="shared" ca="1" si="17"/>
        <v>57</v>
      </c>
      <c r="J293" s="72">
        <f t="shared" ref="J293:J308" si="19">EDATE(G293-1,12)</f>
        <v>46426</v>
      </c>
      <c r="K293" s="9">
        <f>EDATE(H293-1,12*5)</f>
        <v>47337</v>
      </c>
    </row>
    <row r="294" spans="1:11" x14ac:dyDescent="0.25">
      <c r="A294" s="6">
        <v>92493299</v>
      </c>
      <c r="B294" s="6" t="s">
        <v>861</v>
      </c>
      <c r="C294" s="6" t="s">
        <v>862</v>
      </c>
      <c r="D294" s="6" t="s">
        <v>60</v>
      </c>
      <c r="E294" s="4" t="s">
        <v>863</v>
      </c>
      <c r="F294" s="43" t="s">
        <v>864</v>
      </c>
      <c r="G294" s="59">
        <v>46147</v>
      </c>
      <c r="H294" s="46">
        <v>46171</v>
      </c>
      <c r="I294" s="11">
        <f t="shared" ca="1" si="17"/>
        <v>56</v>
      </c>
      <c r="J294" s="92">
        <f t="shared" si="19"/>
        <v>46511</v>
      </c>
      <c r="K294" s="9">
        <f>EDATE(H294-1,12*5)</f>
        <v>47996</v>
      </c>
    </row>
    <row r="295" spans="1:11" x14ac:dyDescent="0.25">
      <c r="A295" s="6">
        <v>92493077</v>
      </c>
      <c r="B295" s="6" t="s">
        <v>865</v>
      </c>
      <c r="C295" s="6" t="s">
        <v>866</v>
      </c>
      <c r="D295" s="6" t="s">
        <v>60</v>
      </c>
      <c r="E295" s="12">
        <v>25020</v>
      </c>
      <c r="F295" s="4" t="s">
        <v>226</v>
      </c>
      <c r="G295" s="59">
        <v>46122</v>
      </c>
      <c r="H295" s="46">
        <v>46162</v>
      </c>
      <c r="I295" s="11">
        <f t="shared" ca="1" si="17"/>
        <v>58</v>
      </c>
      <c r="J295" s="61">
        <f t="shared" si="19"/>
        <v>46486</v>
      </c>
      <c r="K295" s="9">
        <f>EDATE(H295-1,12*5)</f>
        <v>47987</v>
      </c>
    </row>
    <row r="296" spans="1:11" x14ac:dyDescent="0.25">
      <c r="A296" s="6">
        <v>92492961</v>
      </c>
      <c r="B296" s="6" t="s">
        <v>867</v>
      </c>
      <c r="C296" s="6" t="s">
        <v>868</v>
      </c>
      <c r="D296" s="6" t="s">
        <v>60</v>
      </c>
      <c r="E296" s="4" t="s">
        <v>869</v>
      </c>
      <c r="F296" s="4" t="s">
        <v>449</v>
      </c>
      <c r="G296" s="59">
        <v>46092</v>
      </c>
      <c r="H296" s="46">
        <v>45395</v>
      </c>
      <c r="I296" s="11">
        <f t="shared" ca="1" si="17"/>
        <v>54</v>
      </c>
      <c r="J296" s="72">
        <f t="shared" si="19"/>
        <v>46456</v>
      </c>
      <c r="K296" s="9">
        <f>EDATE(H296-1,12*5)</f>
        <v>47220</v>
      </c>
    </row>
    <row r="297" spans="1:11" x14ac:dyDescent="0.25">
      <c r="A297" s="6">
        <v>92493027</v>
      </c>
      <c r="B297" s="6" t="s">
        <v>870</v>
      </c>
      <c r="C297" s="6" t="s">
        <v>454</v>
      </c>
      <c r="D297" s="6" t="s">
        <v>60</v>
      </c>
      <c r="E297" s="12">
        <v>26850</v>
      </c>
      <c r="F297" s="12">
        <v>33924</v>
      </c>
      <c r="G297" s="59">
        <v>46170</v>
      </c>
      <c r="H297" s="46">
        <v>46097</v>
      </c>
      <c r="I297" s="11">
        <f t="shared" ca="1" si="17"/>
        <v>53</v>
      </c>
      <c r="J297" s="92">
        <f t="shared" si="19"/>
        <v>46534</v>
      </c>
      <c r="K297" s="9">
        <f>EDATE(H297-1,12*5)</f>
        <v>47922</v>
      </c>
    </row>
    <row r="298" spans="1:11" x14ac:dyDescent="0.25">
      <c r="A298" s="6">
        <v>92492968</v>
      </c>
      <c r="B298" s="6" t="s">
        <v>871</v>
      </c>
      <c r="C298" s="6" t="s">
        <v>258</v>
      </c>
      <c r="D298" s="6" t="s">
        <v>60</v>
      </c>
      <c r="E298" s="4" t="s">
        <v>872</v>
      </c>
      <c r="F298" s="12">
        <v>33456</v>
      </c>
      <c r="G298" s="59">
        <v>46051</v>
      </c>
      <c r="H298" s="46">
        <v>45352</v>
      </c>
      <c r="I298" s="11">
        <f t="shared" ca="1" si="17"/>
        <v>58</v>
      </c>
      <c r="J298" s="72">
        <f t="shared" si="19"/>
        <v>46415</v>
      </c>
      <c r="K298" s="9">
        <f>EDATE(H298-1,12*5)</f>
        <v>47177</v>
      </c>
    </row>
    <row r="299" spans="1:11" x14ac:dyDescent="0.25">
      <c r="A299" s="6">
        <v>92290493</v>
      </c>
      <c r="B299" s="6" t="s">
        <v>873</v>
      </c>
      <c r="C299" s="6" t="s">
        <v>874</v>
      </c>
      <c r="D299" s="6" t="s">
        <v>60</v>
      </c>
      <c r="E299" s="4" t="s">
        <v>875</v>
      </c>
      <c r="F299" s="12">
        <v>33633</v>
      </c>
      <c r="G299" s="59">
        <v>46129</v>
      </c>
      <c r="H299" s="46">
        <v>45748</v>
      </c>
      <c r="I299" s="11">
        <f t="shared" ca="1" si="17"/>
        <v>57</v>
      </c>
      <c r="J299" s="59">
        <f t="shared" si="19"/>
        <v>46493</v>
      </c>
      <c r="K299" s="9">
        <f>EDATE(H299-1,12*5)</f>
        <v>47573</v>
      </c>
    </row>
    <row r="300" spans="1:11" x14ac:dyDescent="0.25">
      <c r="A300" s="6">
        <v>92493151</v>
      </c>
      <c r="B300" s="17" t="s">
        <v>876</v>
      </c>
      <c r="C300" s="17" t="s">
        <v>877</v>
      </c>
      <c r="D300" s="6" t="s">
        <v>289</v>
      </c>
      <c r="E300" s="4" t="s">
        <v>878</v>
      </c>
      <c r="F300" s="12">
        <v>33821</v>
      </c>
      <c r="G300" s="59">
        <v>45888</v>
      </c>
      <c r="H300" s="80">
        <v>45897</v>
      </c>
      <c r="I300" s="2">
        <f t="shared" ca="1" si="17"/>
        <v>56</v>
      </c>
      <c r="J300" s="92">
        <f t="shared" si="19"/>
        <v>46252</v>
      </c>
      <c r="K300" s="9">
        <f>EDATE(H300-1,12*5)</f>
        <v>47722</v>
      </c>
    </row>
    <row r="301" spans="1:11" x14ac:dyDescent="0.25">
      <c r="A301" s="6">
        <v>92493372</v>
      </c>
      <c r="B301" s="6" t="s">
        <v>879</v>
      </c>
      <c r="C301" s="6" t="s">
        <v>455</v>
      </c>
      <c r="D301" s="6" t="s">
        <v>105</v>
      </c>
      <c r="E301" s="12">
        <v>25511</v>
      </c>
      <c r="F301" s="4" t="s">
        <v>880</v>
      </c>
      <c r="G301" s="59">
        <v>45898</v>
      </c>
      <c r="H301" s="46">
        <v>45173</v>
      </c>
      <c r="I301" s="2">
        <f t="shared" ca="1" si="17"/>
        <v>56</v>
      </c>
      <c r="J301" s="91">
        <f t="shared" si="19"/>
        <v>46262</v>
      </c>
      <c r="K301" s="9">
        <f>EDATE(H301-1,12*5)</f>
        <v>46999</v>
      </c>
    </row>
    <row r="302" spans="1:11" x14ac:dyDescent="0.25">
      <c r="A302" s="6">
        <v>92289556</v>
      </c>
      <c r="B302" s="42" t="s">
        <v>738</v>
      </c>
      <c r="C302" s="17" t="s">
        <v>70</v>
      </c>
      <c r="D302" s="6" t="s">
        <v>277</v>
      </c>
      <c r="E302" s="12">
        <v>24822</v>
      </c>
      <c r="F302" s="12">
        <v>36216</v>
      </c>
      <c r="G302" s="61">
        <v>45919</v>
      </c>
      <c r="H302" s="46">
        <v>45056</v>
      </c>
      <c r="I302" s="11">
        <f t="shared" ca="1" si="17"/>
        <v>58</v>
      </c>
      <c r="J302" s="59">
        <f t="shared" si="19"/>
        <v>46283</v>
      </c>
      <c r="K302" s="9">
        <f>EDATE(H302-1,12*5)</f>
        <v>46882</v>
      </c>
    </row>
    <row r="303" spans="1:11" x14ac:dyDescent="0.25">
      <c r="A303" s="6">
        <v>92494420</v>
      </c>
      <c r="B303" s="17" t="s">
        <v>881</v>
      </c>
      <c r="C303" s="17" t="s">
        <v>323</v>
      </c>
      <c r="D303" s="6" t="s">
        <v>277</v>
      </c>
      <c r="E303" s="12">
        <v>24527</v>
      </c>
      <c r="F303" s="12">
        <v>32946</v>
      </c>
      <c r="G303" s="59">
        <v>46051</v>
      </c>
      <c r="H303" s="46">
        <v>46078</v>
      </c>
      <c r="I303" s="11">
        <f t="shared" ca="1" si="17"/>
        <v>59</v>
      </c>
      <c r="J303" s="72">
        <f t="shared" si="19"/>
        <v>46415</v>
      </c>
      <c r="K303" s="9">
        <f>EDATE(H303-1,12*5)</f>
        <v>47903</v>
      </c>
    </row>
    <row r="304" spans="1:11" x14ac:dyDescent="0.25">
      <c r="A304" s="6">
        <v>92493009</v>
      </c>
      <c r="B304" s="42" t="s">
        <v>882</v>
      </c>
      <c r="C304" s="17" t="s">
        <v>287</v>
      </c>
      <c r="D304" s="6" t="s">
        <v>372</v>
      </c>
      <c r="E304" s="12">
        <v>24473</v>
      </c>
      <c r="F304" s="4" t="s">
        <v>623</v>
      </c>
      <c r="G304" s="61">
        <v>46170</v>
      </c>
      <c r="H304" s="46">
        <v>45870</v>
      </c>
      <c r="I304" s="11">
        <f t="shared" ca="1" si="17"/>
        <v>59</v>
      </c>
      <c r="J304" s="59">
        <f t="shared" si="19"/>
        <v>46534</v>
      </c>
      <c r="K304" s="9">
        <f>EDATE(H304-1,12*5)</f>
        <v>47695</v>
      </c>
    </row>
    <row r="305" spans="1:11" x14ac:dyDescent="0.25">
      <c r="A305" s="6">
        <v>92290459</v>
      </c>
      <c r="B305" s="17" t="s">
        <v>883</v>
      </c>
      <c r="C305" s="17" t="s">
        <v>884</v>
      </c>
      <c r="D305" s="6" t="s">
        <v>372</v>
      </c>
      <c r="E305" s="12">
        <v>25086</v>
      </c>
      <c r="F305" s="33">
        <v>33514</v>
      </c>
      <c r="G305" s="59">
        <v>45350</v>
      </c>
      <c r="H305" s="46">
        <v>45101</v>
      </c>
      <c r="I305" s="11">
        <f t="shared" ca="1" si="17"/>
        <v>57</v>
      </c>
      <c r="J305" s="72">
        <f t="shared" si="19"/>
        <v>45715</v>
      </c>
      <c r="K305" s="9">
        <f>EDATE(H305-1,12*5)</f>
        <v>46927</v>
      </c>
    </row>
    <row r="306" spans="1:11" x14ac:dyDescent="0.25">
      <c r="A306" s="6">
        <v>92492993</v>
      </c>
      <c r="B306" s="17" t="s">
        <v>885</v>
      </c>
      <c r="C306" s="17" t="s">
        <v>886</v>
      </c>
      <c r="D306" s="6" t="s">
        <v>372</v>
      </c>
      <c r="E306" s="12">
        <v>26823</v>
      </c>
      <c r="F306" s="33">
        <v>33851</v>
      </c>
      <c r="G306" s="59">
        <v>46052</v>
      </c>
      <c r="H306" s="46">
        <v>45853</v>
      </c>
      <c r="I306" s="11">
        <f t="shared" ca="1" si="17"/>
        <v>53</v>
      </c>
      <c r="J306" s="72">
        <f t="shared" si="19"/>
        <v>46416</v>
      </c>
      <c r="K306" s="9">
        <f>EDATE(H306-1,12*5)</f>
        <v>47678</v>
      </c>
    </row>
    <row r="307" spans="1:11" x14ac:dyDescent="0.25">
      <c r="A307" s="6">
        <v>92493098</v>
      </c>
      <c r="B307" s="17" t="s">
        <v>887</v>
      </c>
      <c r="C307" s="17" t="s">
        <v>888</v>
      </c>
      <c r="D307" s="6" t="s">
        <v>348</v>
      </c>
      <c r="E307" s="12">
        <v>26684</v>
      </c>
      <c r="F307" s="43" t="s">
        <v>889</v>
      </c>
      <c r="G307" s="59">
        <v>46175</v>
      </c>
      <c r="H307" s="80">
        <v>45864</v>
      </c>
      <c r="I307" s="11">
        <f t="shared" ca="1" si="17"/>
        <v>53</v>
      </c>
      <c r="J307" s="92">
        <f t="shared" si="19"/>
        <v>46539</v>
      </c>
      <c r="K307" s="9">
        <f>EDATE(H307-1,12*5)</f>
        <v>47689</v>
      </c>
    </row>
    <row r="308" spans="1:11" x14ac:dyDescent="0.25">
      <c r="A308" s="6">
        <v>92304005</v>
      </c>
      <c r="B308" s="17" t="s">
        <v>890</v>
      </c>
      <c r="C308" s="17" t="s">
        <v>891</v>
      </c>
      <c r="D308" s="6" t="s">
        <v>124</v>
      </c>
      <c r="E308" s="12">
        <v>25660</v>
      </c>
      <c r="F308" s="43" t="s">
        <v>892</v>
      </c>
      <c r="G308" s="59">
        <v>45537</v>
      </c>
      <c r="H308" s="46">
        <v>45349</v>
      </c>
      <c r="I308" s="11">
        <f t="shared" ca="1" si="17"/>
        <v>56</v>
      </c>
      <c r="J308" s="72">
        <f t="shared" si="19"/>
        <v>45901</v>
      </c>
      <c r="K308" s="9">
        <f>EDATE(H308-1,12*5)</f>
        <v>47175</v>
      </c>
    </row>
    <row r="309" spans="1:11" x14ac:dyDescent="0.25">
      <c r="A309" s="6">
        <v>24903875</v>
      </c>
      <c r="B309" s="44" t="s">
        <v>893</v>
      </c>
      <c r="C309" s="17" t="s">
        <v>894</v>
      </c>
      <c r="D309" s="6" t="s">
        <v>242</v>
      </c>
      <c r="E309" s="12">
        <v>30658</v>
      </c>
      <c r="F309" s="33">
        <v>39449</v>
      </c>
      <c r="G309" s="59">
        <v>45726</v>
      </c>
      <c r="H309" s="46">
        <v>44743</v>
      </c>
      <c r="I309" s="11">
        <f t="shared" ca="1" si="17"/>
        <v>42</v>
      </c>
      <c r="J309" s="59">
        <f>EDATE(G309-1,60)</f>
        <v>47551</v>
      </c>
      <c r="K309" s="9">
        <f>EDATE(H309-1,12*5)</f>
        <v>46568</v>
      </c>
    </row>
    <row r="310" spans="1:11" x14ac:dyDescent="0.25">
      <c r="A310" s="6">
        <v>92290305</v>
      </c>
      <c r="B310" s="45" t="s">
        <v>895</v>
      </c>
      <c r="C310" s="6" t="s">
        <v>154</v>
      </c>
      <c r="D310" s="6" t="s">
        <v>362</v>
      </c>
      <c r="E310" s="4" t="s">
        <v>896</v>
      </c>
      <c r="F310" s="43" t="s">
        <v>897</v>
      </c>
      <c r="G310" s="76">
        <v>46155</v>
      </c>
      <c r="H310" s="46">
        <v>44275</v>
      </c>
      <c r="I310" s="11">
        <f t="shared" ca="1" si="17"/>
        <v>50</v>
      </c>
      <c r="J310" s="72">
        <f>EDATE(G310-1,36)</f>
        <v>47250</v>
      </c>
      <c r="K310" s="9">
        <f>EDATE(H310-1,12*5)</f>
        <v>46100</v>
      </c>
    </row>
    <row r="311" spans="1:11" x14ac:dyDescent="0.25">
      <c r="A311" s="6">
        <v>92492972</v>
      </c>
      <c r="B311" s="17" t="s">
        <v>457</v>
      </c>
      <c r="C311" s="17" t="s">
        <v>148</v>
      </c>
      <c r="D311" s="6" t="s">
        <v>333</v>
      </c>
      <c r="E311" s="12">
        <v>25902</v>
      </c>
      <c r="F311" s="12">
        <v>33534</v>
      </c>
      <c r="G311" s="59">
        <v>46177</v>
      </c>
      <c r="H311" s="46">
        <v>45532</v>
      </c>
      <c r="I311" s="11">
        <f t="shared" ca="1" si="17"/>
        <v>55</v>
      </c>
      <c r="J311" s="92">
        <f>EDATE(G311-1,12)</f>
        <v>46541</v>
      </c>
      <c r="K311" s="9">
        <f>EDATE(H311-1,12*5)</f>
        <v>47357</v>
      </c>
    </row>
    <row r="312" spans="1:11" x14ac:dyDescent="0.25">
      <c r="A312" s="6">
        <v>92493050</v>
      </c>
      <c r="B312" s="17" t="s">
        <v>898</v>
      </c>
      <c r="C312" s="17" t="s">
        <v>899</v>
      </c>
      <c r="D312" s="6" t="s">
        <v>333</v>
      </c>
      <c r="E312" s="4" t="s">
        <v>900</v>
      </c>
      <c r="F312" s="12">
        <v>34130</v>
      </c>
      <c r="G312" s="59">
        <v>46076</v>
      </c>
      <c r="H312" s="46">
        <v>45859</v>
      </c>
      <c r="I312" s="11">
        <f t="shared" ca="1" si="17"/>
        <v>54</v>
      </c>
      <c r="J312" s="72">
        <f>EDATE(G312-1,12)</f>
        <v>46440</v>
      </c>
      <c r="K312" s="9">
        <f>EDATE(H312-1,12*5)</f>
        <v>47684</v>
      </c>
    </row>
    <row r="313" spans="1:11" x14ac:dyDescent="0.25">
      <c r="A313" s="6">
        <v>92493115</v>
      </c>
      <c r="B313" s="17" t="s">
        <v>67</v>
      </c>
      <c r="C313" s="17" t="s">
        <v>901</v>
      </c>
      <c r="D313" s="6" t="s">
        <v>333</v>
      </c>
      <c r="E313" s="12">
        <v>25763</v>
      </c>
      <c r="F313" s="33">
        <v>35709</v>
      </c>
      <c r="G313" s="61">
        <v>46176</v>
      </c>
      <c r="H313" s="46">
        <v>45581</v>
      </c>
      <c r="I313" s="11">
        <f t="shared" ca="1" si="17"/>
        <v>56</v>
      </c>
      <c r="J313" s="61">
        <f>EDATE(G313-1,12)</f>
        <v>46540</v>
      </c>
      <c r="K313" s="9">
        <f>EDATE(H313-1,12*5)</f>
        <v>47406</v>
      </c>
    </row>
    <row r="314" spans="1:11" x14ac:dyDescent="0.25">
      <c r="A314" s="6">
        <v>92290274</v>
      </c>
      <c r="B314" s="17" t="s">
        <v>902</v>
      </c>
      <c r="C314" s="17" t="s">
        <v>903</v>
      </c>
      <c r="D314" s="6" t="s">
        <v>333</v>
      </c>
      <c r="E314" s="12">
        <v>24939</v>
      </c>
      <c r="F314" s="43" t="s">
        <v>904</v>
      </c>
      <c r="G314" s="61">
        <v>46064</v>
      </c>
      <c r="H314" s="46">
        <v>44986</v>
      </c>
      <c r="I314" s="11">
        <f t="shared" ca="1" si="17"/>
        <v>58</v>
      </c>
      <c r="J314" s="72">
        <f>EDATE(G314-1,12)</f>
        <v>46428</v>
      </c>
      <c r="K314" s="9">
        <f>EDATE(H314-1,12*5)</f>
        <v>46811</v>
      </c>
    </row>
    <row r="315" spans="1:11" x14ac:dyDescent="0.25">
      <c r="A315" s="6">
        <v>92493132</v>
      </c>
      <c r="B315" s="17" t="s">
        <v>905</v>
      </c>
      <c r="C315" s="17" t="s">
        <v>906</v>
      </c>
      <c r="D315" s="6" t="s">
        <v>333</v>
      </c>
      <c r="E315" s="12">
        <v>28917</v>
      </c>
      <c r="F315" s="33">
        <v>36487</v>
      </c>
      <c r="G315" s="59">
        <v>45434</v>
      </c>
      <c r="H315" s="46">
        <v>45325</v>
      </c>
      <c r="I315" s="11">
        <f t="shared" ca="1" si="17"/>
        <v>47</v>
      </c>
      <c r="J315" s="59">
        <f>EDATE(G315-1,36)</f>
        <v>46528</v>
      </c>
      <c r="K315" s="9">
        <f>EDATE(H315-1,12*5)</f>
        <v>47151</v>
      </c>
    </row>
    <row r="316" spans="1:11" x14ac:dyDescent="0.25">
      <c r="A316" s="6">
        <v>92292673</v>
      </c>
      <c r="B316" s="41" t="s">
        <v>907</v>
      </c>
      <c r="C316" s="17" t="s">
        <v>908</v>
      </c>
      <c r="D316" s="6" t="s">
        <v>909</v>
      </c>
      <c r="E316" s="12">
        <v>25060</v>
      </c>
      <c r="F316" s="33">
        <v>34127</v>
      </c>
      <c r="G316" s="61">
        <v>46188</v>
      </c>
      <c r="H316" s="46">
        <v>45393</v>
      </c>
      <c r="I316" s="11">
        <f t="shared" ca="1" si="17"/>
        <v>58</v>
      </c>
      <c r="J316" s="59">
        <f>EDATE(G316-1,12)</f>
        <v>46552</v>
      </c>
      <c r="K316" s="9">
        <f>EDATE(H316-1,12*5)</f>
        <v>47218</v>
      </c>
    </row>
    <row r="317" spans="1:11" x14ac:dyDescent="0.25">
      <c r="A317" s="6">
        <v>92492988</v>
      </c>
      <c r="B317" s="17" t="s">
        <v>910</v>
      </c>
      <c r="C317" s="17" t="s">
        <v>911</v>
      </c>
      <c r="D317" s="6" t="s">
        <v>333</v>
      </c>
      <c r="E317" s="12">
        <v>26429</v>
      </c>
      <c r="F317" s="33">
        <v>33823</v>
      </c>
      <c r="G317" s="59">
        <v>45925</v>
      </c>
      <c r="H317" s="46">
        <v>44617</v>
      </c>
      <c r="I317" s="11">
        <f t="shared" ca="1" si="17"/>
        <v>54</v>
      </c>
      <c r="J317" s="92">
        <f>EDATE(G317-1,12)</f>
        <v>46289</v>
      </c>
      <c r="K317" s="9">
        <f>EDATE(H317-1,12*5)</f>
        <v>46442</v>
      </c>
    </row>
    <row r="318" spans="1:11" x14ac:dyDescent="0.25">
      <c r="A318" s="6">
        <v>92291253</v>
      </c>
      <c r="B318" s="41" t="s">
        <v>457</v>
      </c>
      <c r="C318" s="17" t="s">
        <v>912</v>
      </c>
      <c r="D318" s="6" t="s">
        <v>913</v>
      </c>
      <c r="E318" s="12">
        <v>29007</v>
      </c>
      <c r="F318" s="43" t="s">
        <v>543</v>
      </c>
      <c r="G318" s="72">
        <v>44468</v>
      </c>
      <c r="H318" s="46">
        <v>44236</v>
      </c>
      <c r="I318" s="11">
        <f t="shared" ca="1" si="17"/>
        <v>47</v>
      </c>
      <c r="J318" s="72">
        <f>EDATE(G318-1,36)</f>
        <v>45563</v>
      </c>
      <c r="K318" s="9">
        <f>EDATE(H318-1,12*5)</f>
        <v>46061</v>
      </c>
    </row>
    <row r="319" spans="1:11" x14ac:dyDescent="0.25">
      <c r="A319" s="6">
        <v>24907473</v>
      </c>
      <c r="B319" s="6" t="s">
        <v>914</v>
      </c>
      <c r="C319" s="6" t="s">
        <v>915</v>
      </c>
      <c r="D319" s="6" t="s">
        <v>266</v>
      </c>
      <c r="E319" s="4" t="s">
        <v>916</v>
      </c>
      <c r="F319" s="33">
        <v>40555</v>
      </c>
      <c r="G319" s="59">
        <v>45384</v>
      </c>
      <c r="H319" s="46">
        <v>45436</v>
      </c>
      <c r="I319" s="11">
        <f t="shared" ca="1" si="17"/>
        <v>42</v>
      </c>
      <c r="J319" s="59">
        <f>EDATE(G319-1,60)</f>
        <v>47209</v>
      </c>
      <c r="K319" s="9">
        <f>EDATE(H319-1,12*5)</f>
        <v>47261</v>
      </c>
    </row>
    <row r="320" spans="1:11" x14ac:dyDescent="0.25">
      <c r="A320" s="6">
        <v>24908080</v>
      </c>
      <c r="B320" s="6" t="s">
        <v>917</v>
      </c>
      <c r="C320" s="6" t="s">
        <v>918</v>
      </c>
      <c r="D320" s="6" t="s">
        <v>362</v>
      </c>
      <c r="E320" s="12">
        <v>27990</v>
      </c>
      <c r="F320" s="43" t="s">
        <v>919</v>
      </c>
      <c r="G320" s="59">
        <v>45310</v>
      </c>
      <c r="H320" s="46">
        <v>44761</v>
      </c>
      <c r="I320" s="11">
        <f t="shared" ca="1" si="17"/>
        <v>50</v>
      </c>
      <c r="J320" s="59">
        <f>EDATE(G320-1,36)</f>
        <v>46405</v>
      </c>
      <c r="K320" s="9">
        <f>EDATE(H320-1,12*5)</f>
        <v>46586</v>
      </c>
    </row>
    <row r="321" spans="1:11" x14ac:dyDescent="0.25">
      <c r="A321" s="6">
        <v>24909937</v>
      </c>
      <c r="B321" s="17" t="s">
        <v>920</v>
      </c>
      <c r="C321" s="17" t="s">
        <v>921</v>
      </c>
      <c r="D321" s="6" t="s">
        <v>277</v>
      </c>
      <c r="E321" s="12">
        <v>31035</v>
      </c>
      <c r="F321" s="33">
        <v>41309</v>
      </c>
      <c r="G321" s="59">
        <v>45436</v>
      </c>
      <c r="H321" s="46">
        <v>44761</v>
      </c>
      <c r="I321" s="11">
        <f t="shared" ca="1" si="17"/>
        <v>41</v>
      </c>
      <c r="J321" s="59">
        <f>EDATE(G321-1,60)</f>
        <v>47261</v>
      </c>
      <c r="K321" s="9">
        <f>EDATE(H321-1,12*5)</f>
        <v>46586</v>
      </c>
    </row>
    <row r="322" spans="1:11" x14ac:dyDescent="0.25">
      <c r="A322" s="6">
        <v>24911518</v>
      </c>
      <c r="B322" s="17" t="s">
        <v>922</v>
      </c>
      <c r="C322" s="17" t="s">
        <v>136</v>
      </c>
      <c r="D322" s="6" t="s">
        <v>105</v>
      </c>
      <c r="E322" s="12">
        <v>31685</v>
      </c>
      <c r="F322" s="33">
        <v>41940</v>
      </c>
      <c r="G322" s="59">
        <v>45302</v>
      </c>
      <c r="H322" s="46">
        <v>45351</v>
      </c>
      <c r="I322" s="11">
        <f t="shared" ca="1" si="17"/>
        <v>39</v>
      </c>
      <c r="J322" s="59">
        <f>EDATE(G322-1,60)</f>
        <v>47128</v>
      </c>
      <c r="K322" s="9">
        <f>EDATE(H322-1,12*5)</f>
        <v>47177</v>
      </c>
    </row>
    <row r="323" spans="1:11" x14ac:dyDescent="0.25">
      <c r="A323" s="6">
        <v>24914473</v>
      </c>
      <c r="B323" s="17" t="s">
        <v>923</v>
      </c>
      <c r="C323" s="17" t="s">
        <v>924</v>
      </c>
      <c r="D323" s="6" t="s">
        <v>277</v>
      </c>
      <c r="E323" s="12">
        <v>28655</v>
      </c>
      <c r="F323" s="33">
        <v>42790</v>
      </c>
      <c r="G323" s="59">
        <v>45350</v>
      </c>
      <c r="H323" s="46">
        <v>45880</v>
      </c>
      <c r="I323" s="11">
        <f t="shared" ca="1" si="17"/>
        <v>48</v>
      </c>
      <c r="J323" s="59">
        <f>EDATE(G323-1,36)</f>
        <v>46445</v>
      </c>
      <c r="K323" s="9">
        <f>EDATE(H323-1,12*5)</f>
        <v>47705</v>
      </c>
    </row>
    <row r="324" spans="1:11" x14ac:dyDescent="0.25">
      <c r="A324" s="6">
        <v>22643241</v>
      </c>
      <c r="B324" s="17" t="s">
        <v>925</v>
      </c>
      <c r="C324" s="17" t="s">
        <v>926</v>
      </c>
      <c r="D324" s="6" t="s">
        <v>352</v>
      </c>
      <c r="E324" s="12">
        <v>25699</v>
      </c>
      <c r="F324" s="43" t="s">
        <v>927</v>
      </c>
      <c r="G324" s="59">
        <v>45331</v>
      </c>
      <c r="H324" s="80">
        <v>45807</v>
      </c>
      <c r="I324" s="11">
        <f t="shared" ca="1" si="17"/>
        <v>56</v>
      </c>
      <c r="J324" s="72">
        <f>EDATE(G324-1,12)</f>
        <v>45696</v>
      </c>
      <c r="K324" s="9">
        <f>EDATE(H324-1,12*5)</f>
        <v>47632</v>
      </c>
    </row>
    <row r="325" spans="1:11" x14ac:dyDescent="0.25">
      <c r="A325" s="6">
        <v>24901974</v>
      </c>
      <c r="B325" s="17" t="s">
        <v>928</v>
      </c>
      <c r="C325" s="17" t="s">
        <v>929</v>
      </c>
      <c r="D325" s="6" t="s">
        <v>341</v>
      </c>
      <c r="E325" s="12">
        <v>28496</v>
      </c>
      <c r="F325" s="33">
        <v>38203</v>
      </c>
      <c r="G325" s="59">
        <v>46121</v>
      </c>
      <c r="H325" s="80">
        <v>45789</v>
      </c>
      <c r="I325" s="11">
        <f t="shared" ca="1" si="17"/>
        <v>48</v>
      </c>
      <c r="J325" s="59">
        <f>EDATE(G325-1,36)</f>
        <v>47216</v>
      </c>
      <c r="K325" s="9">
        <f>EDATE(H325-1,12*5)</f>
        <v>47614</v>
      </c>
    </row>
    <row r="326" spans="1:11" x14ac:dyDescent="0.25">
      <c r="A326" s="6">
        <v>92289396</v>
      </c>
      <c r="B326" s="17" t="s">
        <v>611</v>
      </c>
      <c r="C326" s="17" t="s">
        <v>930</v>
      </c>
      <c r="D326" s="6" t="s">
        <v>352</v>
      </c>
      <c r="E326" s="12">
        <v>24955</v>
      </c>
      <c r="F326" s="33">
        <v>33011</v>
      </c>
      <c r="G326" s="59">
        <v>46149</v>
      </c>
      <c r="H326" s="46">
        <v>45136</v>
      </c>
      <c r="I326" s="11">
        <f t="shared" ca="1" si="17"/>
        <v>58</v>
      </c>
      <c r="J326" s="91">
        <f>EDATE(G326-1,12)</f>
        <v>46513</v>
      </c>
      <c r="K326" s="9">
        <f>EDATE(H326-1,12*5)</f>
        <v>46962</v>
      </c>
    </row>
    <row r="327" spans="1:11" x14ac:dyDescent="0.25">
      <c r="A327" s="6">
        <v>58002975</v>
      </c>
      <c r="B327" s="17" t="s">
        <v>931</v>
      </c>
      <c r="C327" s="17" t="s">
        <v>932</v>
      </c>
      <c r="D327" s="6" t="s">
        <v>362</v>
      </c>
      <c r="E327" s="12">
        <v>31720</v>
      </c>
      <c r="F327" s="12">
        <v>44781</v>
      </c>
      <c r="G327" s="65" t="s">
        <v>512</v>
      </c>
      <c r="H327" s="46">
        <v>44837</v>
      </c>
      <c r="I327" s="11">
        <f t="shared" ca="1" si="17"/>
        <v>39</v>
      </c>
      <c r="J327" s="77" t="s">
        <v>513</v>
      </c>
      <c r="K327" s="9">
        <f>EDATE(H327-1,12*5)</f>
        <v>46662</v>
      </c>
    </row>
    <row r="328" spans="1:11" x14ac:dyDescent="0.25">
      <c r="A328" s="6">
        <v>58002978</v>
      </c>
      <c r="B328" s="17" t="s">
        <v>933</v>
      </c>
      <c r="C328" s="17" t="s">
        <v>934</v>
      </c>
      <c r="D328" s="6" t="s">
        <v>362</v>
      </c>
      <c r="E328" s="12">
        <v>37639</v>
      </c>
      <c r="F328" s="12">
        <v>44796</v>
      </c>
      <c r="G328" s="77">
        <v>46227</v>
      </c>
      <c r="H328" s="46"/>
      <c r="I328" s="11">
        <f t="shared" ca="1" si="17"/>
        <v>23</v>
      </c>
      <c r="J328" s="77" t="s">
        <v>513</v>
      </c>
      <c r="K328" s="9" t="e">
        <f>EDATE(H328-1,12*5)</f>
        <v>#NUM!</v>
      </c>
    </row>
    <row r="329" spans="1:11" x14ac:dyDescent="0.25">
      <c r="A329" s="6">
        <v>92492967</v>
      </c>
      <c r="B329" s="17" t="s">
        <v>579</v>
      </c>
      <c r="C329" s="17" t="s">
        <v>935</v>
      </c>
      <c r="D329" s="6" t="s">
        <v>270</v>
      </c>
      <c r="E329" s="12">
        <v>26394</v>
      </c>
      <c r="F329" s="4" t="s">
        <v>653</v>
      </c>
      <c r="G329" s="59">
        <v>46182</v>
      </c>
      <c r="H329" s="46">
        <v>44600</v>
      </c>
      <c r="I329" s="11">
        <f t="shared" ca="1" si="17"/>
        <v>54</v>
      </c>
      <c r="J329" s="92">
        <f>EDATE(G329-1,12)</f>
        <v>46546</v>
      </c>
      <c r="K329" s="9">
        <f>EDATE(H329-1,12*5)</f>
        <v>46425</v>
      </c>
    </row>
    <row r="330" spans="1:11" x14ac:dyDescent="0.25">
      <c r="A330" s="6">
        <v>92492991</v>
      </c>
      <c r="B330" s="6" t="s">
        <v>606</v>
      </c>
      <c r="C330" s="6" t="s">
        <v>936</v>
      </c>
      <c r="D330" s="6" t="s">
        <v>86</v>
      </c>
      <c r="E330" s="4" t="s">
        <v>225</v>
      </c>
      <c r="F330" s="4" t="s">
        <v>937</v>
      </c>
      <c r="G330" s="59">
        <v>46216</v>
      </c>
      <c r="H330" s="46">
        <v>45091</v>
      </c>
      <c r="I330" s="11">
        <f t="shared" ca="1" si="17"/>
        <v>53</v>
      </c>
      <c r="J330" s="59">
        <f>EDATE(G330-1,12)</f>
        <v>46580</v>
      </c>
      <c r="K330" s="9">
        <f>EDATE(H330-1,12*5)</f>
        <v>46917</v>
      </c>
    </row>
    <row r="331" spans="1:11" x14ac:dyDescent="0.25">
      <c r="A331" s="6">
        <v>58008062</v>
      </c>
      <c r="B331" s="17" t="s">
        <v>938</v>
      </c>
      <c r="C331" s="17" t="s">
        <v>939</v>
      </c>
      <c r="D331" s="6" t="s">
        <v>362</v>
      </c>
      <c r="E331" s="12">
        <v>33192</v>
      </c>
      <c r="F331" s="33">
        <v>45119</v>
      </c>
      <c r="G331" s="65" t="s">
        <v>940</v>
      </c>
      <c r="H331" s="46">
        <v>45158</v>
      </c>
      <c r="I331" s="11">
        <f t="shared" ca="1" si="17"/>
        <v>35</v>
      </c>
      <c r="J331" s="77" t="s">
        <v>513</v>
      </c>
      <c r="K331" s="9">
        <f>EDATE(H331-1,12*5)</f>
        <v>46984</v>
      </c>
    </row>
    <row r="332" spans="1:11" x14ac:dyDescent="0.25">
      <c r="A332" s="5">
        <v>58010224</v>
      </c>
      <c r="B332" s="28" t="s">
        <v>941</v>
      </c>
      <c r="C332" s="28" t="s">
        <v>942</v>
      </c>
      <c r="D332" s="6" t="s">
        <v>362</v>
      </c>
      <c r="F332" s="12"/>
      <c r="G332" s="65" t="s">
        <v>940</v>
      </c>
      <c r="H332" s="46">
        <v>45359</v>
      </c>
      <c r="I332" s="11"/>
      <c r="J332" s="77" t="s">
        <v>513</v>
      </c>
      <c r="K332" s="9">
        <f>EDATE(H332-1,12*5)</f>
        <v>47184</v>
      </c>
    </row>
    <row r="333" spans="1:11" x14ac:dyDescent="0.25">
      <c r="A333" s="6">
        <v>58008060</v>
      </c>
      <c r="B333" s="17" t="s">
        <v>943</v>
      </c>
      <c r="C333" s="17" t="s">
        <v>944</v>
      </c>
      <c r="D333" s="6" t="s">
        <v>362</v>
      </c>
      <c r="E333" s="12">
        <v>33285</v>
      </c>
      <c r="F333" s="12">
        <v>45119</v>
      </c>
      <c r="G333" s="65" t="s">
        <v>940</v>
      </c>
      <c r="H333" s="46">
        <v>46073</v>
      </c>
      <c r="I333" s="11">
        <f t="shared" ref="I333:I338" ca="1" si="20">DATEDIF(E333,TODAY(),"y")</f>
        <v>35</v>
      </c>
      <c r="J333" s="77" t="s">
        <v>513</v>
      </c>
      <c r="K333" s="9">
        <f>EDATE(H333-1,12*5)</f>
        <v>47898</v>
      </c>
    </row>
    <row r="334" spans="1:11" x14ac:dyDescent="0.25">
      <c r="A334" s="6">
        <v>92290473</v>
      </c>
      <c r="B334" s="17" t="s">
        <v>945</v>
      </c>
      <c r="C334" s="17" t="s">
        <v>490</v>
      </c>
      <c r="D334" s="6" t="s">
        <v>289</v>
      </c>
      <c r="E334" s="12">
        <v>25990</v>
      </c>
      <c r="F334" s="33">
        <v>33308</v>
      </c>
      <c r="G334" s="59">
        <v>45912</v>
      </c>
      <c r="H334" s="46">
        <v>45751</v>
      </c>
      <c r="I334" s="11">
        <f t="shared" ca="1" si="20"/>
        <v>55</v>
      </c>
      <c r="J334" s="92">
        <f>EDATE(G334-1,12)</f>
        <v>46276</v>
      </c>
      <c r="K334" s="9">
        <f>EDATE(H334-1,12*5)</f>
        <v>47576</v>
      </c>
    </row>
    <row r="335" spans="1:11" x14ac:dyDescent="0.25">
      <c r="A335" s="6">
        <v>24901377</v>
      </c>
      <c r="B335" s="6" t="s">
        <v>946</v>
      </c>
      <c r="C335" s="6" t="s">
        <v>430</v>
      </c>
      <c r="D335" s="6" t="s">
        <v>64</v>
      </c>
      <c r="E335" s="12">
        <v>25637</v>
      </c>
      <c r="F335" s="12">
        <v>37935</v>
      </c>
      <c r="G335" s="61">
        <v>45901</v>
      </c>
      <c r="H335" s="46">
        <v>45565</v>
      </c>
      <c r="I335" s="2">
        <f t="shared" ca="1" si="20"/>
        <v>56</v>
      </c>
      <c r="J335" s="59">
        <f>EDATE(G335-1,12)</f>
        <v>46265</v>
      </c>
      <c r="K335" s="9">
        <f>EDATE(H335-1,12*5)</f>
        <v>47390</v>
      </c>
    </row>
    <row r="336" spans="1:11" x14ac:dyDescent="0.25">
      <c r="A336" s="6">
        <v>92494444</v>
      </c>
      <c r="B336" s="6" t="s">
        <v>947</v>
      </c>
      <c r="C336" s="6" t="s">
        <v>786</v>
      </c>
      <c r="D336" s="6" t="s">
        <v>13</v>
      </c>
      <c r="E336" s="4" t="s">
        <v>948</v>
      </c>
      <c r="F336" s="4" t="s">
        <v>949</v>
      </c>
      <c r="G336" s="59">
        <v>45915</v>
      </c>
      <c r="H336" s="46">
        <v>45044</v>
      </c>
      <c r="I336" s="11">
        <f t="shared" ca="1" si="20"/>
        <v>50</v>
      </c>
      <c r="J336" s="91">
        <f>EDATE(G336-1,36)</f>
        <v>47010</v>
      </c>
      <c r="K336" s="9">
        <f>EDATE(H336-1,12*5)</f>
        <v>46870</v>
      </c>
    </row>
    <row r="337" spans="1:11" x14ac:dyDescent="0.25">
      <c r="A337" s="6">
        <v>92493176</v>
      </c>
      <c r="B337" s="6" t="s">
        <v>950</v>
      </c>
      <c r="C337" s="6" t="s">
        <v>951</v>
      </c>
      <c r="D337" s="6" t="s">
        <v>35</v>
      </c>
      <c r="E337" s="4" t="s">
        <v>952</v>
      </c>
      <c r="F337" s="4" t="s">
        <v>953</v>
      </c>
      <c r="G337" s="59">
        <v>45400</v>
      </c>
      <c r="H337" s="46">
        <v>45737</v>
      </c>
      <c r="I337" s="11">
        <f t="shared" ca="1" si="20"/>
        <v>47</v>
      </c>
      <c r="J337" s="91">
        <f>EDATE(G337-1,36)</f>
        <v>46494</v>
      </c>
      <c r="K337" s="9">
        <f>EDATE(H337-1,12*5)</f>
        <v>47562</v>
      </c>
    </row>
    <row r="338" spans="1:11" x14ac:dyDescent="0.25">
      <c r="A338" s="6">
        <v>92493449</v>
      </c>
      <c r="B338" s="15" t="s">
        <v>954</v>
      </c>
      <c r="C338" s="6" t="s">
        <v>955</v>
      </c>
      <c r="D338" s="6" t="s">
        <v>105</v>
      </c>
      <c r="E338" s="4" t="s">
        <v>956</v>
      </c>
      <c r="F338" s="4" t="s">
        <v>957</v>
      </c>
      <c r="G338" s="61">
        <v>46132</v>
      </c>
      <c r="H338" s="46">
        <v>45439</v>
      </c>
      <c r="I338" s="11">
        <f t="shared" ca="1" si="20"/>
        <v>58</v>
      </c>
      <c r="J338" s="92">
        <f>EDATE(G338-1,12)</f>
        <v>46496</v>
      </c>
      <c r="K338" s="9">
        <f>EDATE(H338-1,12*5)</f>
        <v>47264</v>
      </c>
    </row>
    <row r="339" spans="1:11" x14ac:dyDescent="0.25">
      <c r="A339" s="6">
        <v>92290418</v>
      </c>
      <c r="B339" s="6" t="s">
        <v>767</v>
      </c>
      <c r="C339" s="6" t="s">
        <v>958</v>
      </c>
      <c r="D339" s="6" t="s">
        <v>333</v>
      </c>
      <c r="E339" s="4"/>
      <c r="F339" s="4"/>
      <c r="G339" s="59">
        <v>45716</v>
      </c>
      <c r="H339" s="46">
        <v>47190</v>
      </c>
      <c r="I339" s="11"/>
      <c r="J339" s="59" t="s">
        <v>714</v>
      </c>
      <c r="K339" s="9">
        <f>EDATE(H339-1,12*5)</f>
        <v>49015</v>
      </c>
    </row>
    <row r="340" spans="1:11" x14ac:dyDescent="0.25">
      <c r="A340" s="6">
        <v>92303942</v>
      </c>
      <c r="B340" s="17" t="s">
        <v>959</v>
      </c>
      <c r="C340" s="17" t="s">
        <v>960</v>
      </c>
      <c r="D340" s="6" t="s">
        <v>333</v>
      </c>
      <c r="E340" s="4" t="s">
        <v>961</v>
      </c>
      <c r="F340" s="12">
        <v>33278</v>
      </c>
      <c r="G340" s="59">
        <v>46073</v>
      </c>
      <c r="H340" s="46">
        <v>44432</v>
      </c>
      <c r="I340" s="11">
        <f t="shared" ref="I340:I390" ca="1" si="21">DATEDIF(E340,TODAY(),"y")</f>
        <v>55</v>
      </c>
      <c r="J340" s="72">
        <f>EDATE(G340-1,12)</f>
        <v>46437</v>
      </c>
      <c r="K340" s="9">
        <f>EDATE(H340-1,12*5)</f>
        <v>46257</v>
      </c>
    </row>
    <row r="341" spans="1:11" x14ac:dyDescent="0.25">
      <c r="A341" s="6">
        <v>92493373</v>
      </c>
      <c r="B341" s="17" t="s">
        <v>962</v>
      </c>
      <c r="C341" s="17" t="s">
        <v>963</v>
      </c>
      <c r="D341" s="6" t="s">
        <v>333</v>
      </c>
      <c r="E341" s="4" t="s">
        <v>964</v>
      </c>
      <c r="F341" s="12">
        <v>34978</v>
      </c>
      <c r="G341" s="59">
        <v>46148</v>
      </c>
      <c r="H341" s="46">
        <v>45436</v>
      </c>
      <c r="I341" s="11">
        <f t="shared" ca="1" si="21"/>
        <v>53</v>
      </c>
      <c r="J341" s="59">
        <f>EDATE(G341-1,12)</f>
        <v>46512</v>
      </c>
      <c r="K341" s="9">
        <f>EDATE(H341-1,12*5)</f>
        <v>47261</v>
      </c>
    </row>
    <row r="342" spans="1:11" x14ac:dyDescent="0.25">
      <c r="A342" s="6">
        <v>92494237</v>
      </c>
      <c r="B342" s="17" t="s">
        <v>826</v>
      </c>
      <c r="C342" s="17" t="s">
        <v>965</v>
      </c>
      <c r="D342" s="6" t="s">
        <v>333</v>
      </c>
      <c r="E342" s="4" t="s">
        <v>966</v>
      </c>
      <c r="F342" s="12">
        <v>32452</v>
      </c>
      <c r="G342" s="59">
        <v>46072</v>
      </c>
      <c r="H342" s="46">
        <v>45752</v>
      </c>
      <c r="I342" s="11">
        <f t="shared" ca="1" si="21"/>
        <v>59</v>
      </c>
      <c r="J342" s="72">
        <f>EDATE(G342-1,12)</f>
        <v>46436</v>
      </c>
      <c r="K342" s="9">
        <f>EDATE(H342-1,12*5)</f>
        <v>47577</v>
      </c>
    </row>
    <row r="343" spans="1:11" x14ac:dyDescent="0.25">
      <c r="A343" s="6">
        <v>22643258</v>
      </c>
      <c r="B343" s="17" t="s">
        <v>967</v>
      </c>
      <c r="C343" s="17" t="s">
        <v>968</v>
      </c>
      <c r="D343" s="6" t="s">
        <v>341</v>
      </c>
      <c r="E343" s="12">
        <v>29317</v>
      </c>
      <c r="F343" s="4" t="s">
        <v>969</v>
      </c>
      <c r="G343" s="59">
        <v>45859</v>
      </c>
      <c r="H343" s="46">
        <v>45127</v>
      </c>
      <c r="I343" s="11">
        <f t="shared" ca="1" si="21"/>
        <v>46</v>
      </c>
      <c r="J343" s="91">
        <f>EDATE(G343-1,36)</f>
        <v>46954</v>
      </c>
      <c r="K343" s="9">
        <f>EDATE(H343-1,12*5)</f>
        <v>46953</v>
      </c>
    </row>
    <row r="344" spans="1:11" x14ac:dyDescent="0.25">
      <c r="A344" s="6">
        <v>24912324</v>
      </c>
      <c r="B344" s="17" t="s">
        <v>480</v>
      </c>
      <c r="C344" s="17" t="s">
        <v>970</v>
      </c>
      <c r="D344" s="23" t="s">
        <v>372</v>
      </c>
      <c r="E344" s="12">
        <v>29657</v>
      </c>
      <c r="F344" s="12">
        <v>37717</v>
      </c>
      <c r="G344" s="59">
        <v>45397</v>
      </c>
      <c r="H344" s="46">
        <v>45512</v>
      </c>
      <c r="I344" s="11">
        <f t="shared" ca="1" si="21"/>
        <v>45</v>
      </c>
      <c r="J344" s="59">
        <f>EDATE(G344-1,60)</f>
        <v>47222</v>
      </c>
      <c r="K344" s="9">
        <f>EDATE(H344-1,12*5)</f>
        <v>47337</v>
      </c>
    </row>
    <row r="345" spans="1:11" x14ac:dyDescent="0.25">
      <c r="A345" s="6">
        <v>92292573</v>
      </c>
      <c r="B345" s="17" t="s">
        <v>747</v>
      </c>
      <c r="C345" s="17" t="s">
        <v>67</v>
      </c>
      <c r="D345" s="6" t="s">
        <v>124</v>
      </c>
      <c r="E345" s="12">
        <v>25184</v>
      </c>
      <c r="F345" s="4" t="s">
        <v>971</v>
      </c>
      <c r="G345" s="59">
        <v>46224</v>
      </c>
      <c r="H345" s="46">
        <v>45737</v>
      </c>
      <c r="I345" s="2">
        <f t="shared" ca="1" si="21"/>
        <v>57</v>
      </c>
      <c r="J345" s="91">
        <f>EDATE(G345-1,12)</f>
        <v>46588</v>
      </c>
      <c r="K345" s="9">
        <f>EDATE(H345-1,12*5)</f>
        <v>47562</v>
      </c>
    </row>
    <row r="346" spans="1:11" x14ac:dyDescent="0.25">
      <c r="A346" s="6">
        <v>22747786</v>
      </c>
      <c r="B346" s="17" t="s">
        <v>342</v>
      </c>
      <c r="C346" s="17" t="s">
        <v>972</v>
      </c>
      <c r="D346" s="6" t="s">
        <v>289</v>
      </c>
      <c r="E346" s="12">
        <v>29257</v>
      </c>
      <c r="F346" s="4" t="s">
        <v>973</v>
      </c>
      <c r="G346" s="59">
        <v>45839</v>
      </c>
      <c r="H346" s="46">
        <v>45745</v>
      </c>
      <c r="I346" s="11">
        <f t="shared" ca="1" si="21"/>
        <v>46</v>
      </c>
      <c r="J346" s="91">
        <f>EDATE(G346-1,36)</f>
        <v>46934</v>
      </c>
      <c r="K346" s="9">
        <f>EDATE(H346-1,12*5)</f>
        <v>47570</v>
      </c>
    </row>
    <row r="347" spans="1:11" x14ac:dyDescent="0.25">
      <c r="A347" s="6">
        <v>92493292</v>
      </c>
      <c r="B347" s="17" t="s">
        <v>974</v>
      </c>
      <c r="C347" s="17" t="s">
        <v>975</v>
      </c>
      <c r="D347" s="6" t="s">
        <v>566</v>
      </c>
      <c r="E347" s="12">
        <v>24656</v>
      </c>
      <c r="F347" s="4" t="s">
        <v>976</v>
      </c>
      <c r="G347" s="59">
        <v>45838</v>
      </c>
      <c r="H347" s="46">
        <v>44810</v>
      </c>
      <c r="I347" s="11">
        <f t="shared" ca="1" si="21"/>
        <v>59</v>
      </c>
      <c r="J347" s="91">
        <f>EDATE(G347-1,12)</f>
        <v>46202</v>
      </c>
      <c r="K347" s="9">
        <f>EDATE(H347-1,12*5)</f>
        <v>46635</v>
      </c>
    </row>
    <row r="348" spans="1:11" x14ac:dyDescent="0.25">
      <c r="A348" s="6">
        <v>24901429</v>
      </c>
      <c r="B348" s="17" t="s">
        <v>977</v>
      </c>
      <c r="C348" s="17" t="s">
        <v>978</v>
      </c>
      <c r="D348" s="6" t="s">
        <v>64</v>
      </c>
      <c r="E348" s="12">
        <v>30324</v>
      </c>
      <c r="F348" s="12">
        <v>39096</v>
      </c>
      <c r="G348" s="59">
        <v>45168</v>
      </c>
      <c r="H348" s="46">
        <v>44603</v>
      </c>
      <c r="I348" s="11">
        <f t="shared" ca="1" si="21"/>
        <v>43</v>
      </c>
      <c r="J348" s="59">
        <f>EDATE(G348-1,60)</f>
        <v>46994</v>
      </c>
      <c r="K348" s="9">
        <f>EDATE(H348-1,12*5)</f>
        <v>46428</v>
      </c>
    </row>
    <row r="349" spans="1:11" x14ac:dyDescent="0.25">
      <c r="A349" s="6">
        <v>92493634</v>
      </c>
      <c r="B349" s="17" t="s">
        <v>979</v>
      </c>
      <c r="C349" s="17" t="s">
        <v>980</v>
      </c>
      <c r="D349" s="6" t="s">
        <v>124</v>
      </c>
      <c r="E349" s="12">
        <v>26209</v>
      </c>
      <c r="F349" s="4" t="s">
        <v>981</v>
      </c>
      <c r="G349" s="61">
        <v>46204</v>
      </c>
      <c r="H349" s="46">
        <v>44683</v>
      </c>
      <c r="I349" s="11">
        <f t="shared" ca="1" si="21"/>
        <v>54</v>
      </c>
      <c r="J349" s="59">
        <f>EDATE(G349-1,12)</f>
        <v>46568</v>
      </c>
      <c r="K349" s="9">
        <f>EDATE(H349-1,12*5)</f>
        <v>46508</v>
      </c>
    </row>
    <row r="350" spans="1:11" x14ac:dyDescent="0.25">
      <c r="A350" s="6">
        <v>24916868</v>
      </c>
      <c r="B350" s="17" t="s">
        <v>982</v>
      </c>
      <c r="C350" s="17" t="s">
        <v>983</v>
      </c>
      <c r="D350" s="6" t="s">
        <v>289</v>
      </c>
      <c r="E350" s="12">
        <v>31594</v>
      </c>
      <c r="F350" s="12">
        <v>43699</v>
      </c>
      <c r="G350" s="59">
        <v>45441</v>
      </c>
      <c r="H350" s="46">
        <v>45507</v>
      </c>
      <c r="I350" s="11">
        <f t="shared" ca="1" si="21"/>
        <v>40</v>
      </c>
      <c r="J350" s="59">
        <f>EDATE(G350-1,60)</f>
        <v>47266</v>
      </c>
      <c r="K350" s="9">
        <f>EDATE(H350-1,12*5)</f>
        <v>47332</v>
      </c>
    </row>
    <row r="351" spans="1:11" x14ac:dyDescent="0.25">
      <c r="A351" s="6">
        <v>58004240</v>
      </c>
      <c r="B351" s="17" t="s">
        <v>457</v>
      </c>
      <c r="C351" s="17" t="s">
        <v>984</v>
      </c>
      <c r="D351" s="6" t="s">
        <v>362</v>
      </c>
      <c r="E351" s="12">
        <v>31999</v>
      </c>
      <c r="F351" s="12">
        <v>44886</v>
      </c>
      <c r="G351" s="65" t="s">
        <v>512</v>
      </c>
      <c r="H351" s="46">
        <v>44963</v>
      </c>
      <c r="I351" s="11">
        <f t="shared" ca="1" si="21"/>
        <v>39</v>
      </c>
      <c r="J351" s="77" t="s">
        <v>513</v>
      </c>
      <c r="K351" s="9">
        <f>EDATE(H351-1,12*5)</f>
        <v>46788</v>
      </c>
    </row>
    <row r="352" spans="1:11" x14ac:dyDescent="0.25">
      <c r="A352" s="6">
        <v>92493073</v>
      </c>
      <c r="B352" s="15" t="s">
        <v>168</v>
      </c>
      <c r="C352" s="6" t="s">
        <v>670</v>
      </c>
      <c r="D352" s="6" t="s">
        <v>60</v>
      </c>
      <c r="E352" s="4" t="s">
        <v>985</v>
      </c>
      <c r="F352" s="4" t="s">
        <v>986</v>
      </c>
      <c r="G352" s="61">
        <v>46230</v>
      </c>
      <c r="H352" s="46">
        <v>45324</v>
      </c>
      <c r="I352" s="11">
        <f t="shared" ca="1" si="21"/>
        <v>52</v>
      </c>
      <c r="J352" s="91">
        <f>EDATE(G352-1,36)</f>
        <v>47325</v>
      </c>
      <c r="K352" s="9">
        <f>EDATE(H352-1,12*5)</f>
        <v>47150</v>
      </c>
    </row>
    <row r="353" spans="1:11" x14ac:dyDescent="0.25">
      <c r="A353" s="6">
        <v>92492470</v>
      </c>
      <c r="B353" s="6" t="s">
        <v>987</v>
      </c>
      <c r="C353" s="6" t="s">
        <v>92</v>
      </c>
      <c r="D353" s="6" t="s">
        <v>60</v>
      </c>
      <c r="E353" s="4" t="s">
        <v>988</v>
      </c>
      <c r="F353" s="4" t="s">
        <v>20</v>
      </c>
      <c r="G353" s="59">
        <v>46178</v>
      </c>
      <c r="H353" s="46">
        <v>45349</v>
      </c>
      <c r="I353" s="11">
        <f t="shared" ca="1" si="21"/>
        <v>55</v>
      </c>
      <c r="J353" s="92">
        <f t="shared" ref="J353:J362" si="22">EDATE(G353-1,12)</f>
        <v>46542</v>
      </c>
      <c r="K353" s="9">
        <f>EDATE(H353-1,12*5)</f>
        <v>47175</v>
      </c>
    </row>
    <row r="354" spans="1:11" x14ac:dyDescent="0.25">
      <c r="A354" s="6">
        <v>92292266</v>
      </c>
      <c r="B354" s="6" t="s">
        <v>989</v>
      </c>
      <c r="C354" s="6" t="s">
        <v>990</v>
      </c>
      <c r="D354" s="6" t="s">
        <v>60</v>
      </c>
      <c r="E354" s="12">
        <v>25204</v>
      </c>
      <c r="F354" s="12">
        <v>34040</v>
      </c>
      <c r="G354" s="59">
        <v>46167</v>
      </c>
      <c r="H354" s="46">
        <v>44485</v>
      </c>
      <c r="I354" s="11">
        <f t="shared" ca="1" si="21"/>
        <v>57</v>
      </c>
      <c r="J354" s="92">
        <f t="shared" si="22"/>
        <v>46531</v>
      </c>
      <c r="K354" s="9">
        <f>EDATE(H354-1,12*5)</f>
        <v>46310</v>
      </c>
    </row>
    <row r="355" spans="1:11" x14ac:dyDescent="0.25">
      <c r="A355" s="6">
        <v>92493032</v>
      </c>
      <c r="B355" s="6" t="s">
        <v>991</v>
      </c>
      <c r="C355" s="6" t="s">
        <v>287</v>
      </c>
      <c r="D355" s="6" t="s">
        <v>60</v>
      </c>
      <c r="E355" s="12">
        <v>25907</v>
      </c>
      <c r="F355" s="12">
        <v>33938</v>
      </c>
      <c r="G355" s="59">
        <v>46218</v>
      </c>
      <c r="H355" s="46">
        <v>45422</v>
      </c>
      <c r="I355" s="2">
        <f t="shared" ca="1" si="21"/>
        <v>55</v>
      </c>
      <c r="J355" s="92">
        <f t="shared" si="22"/>
        <v>46582</v>
      </c>
      <c r="K355" s="9">
        <f>EDATE(H355-1,12*5)</f>
        <v>47247</v>
      </c>
    </row>
    <row r="356" spans="1:11" x14ac:dyDescent="0.25">
      <c r="A356" s="6">
        <v>92493057</v>
      </c>
      <c r="B356" s="6" t="s">
        <v>149</v>
      </c>
      <c r="C356" s="6" t="s">
        <v>992</v>
      </c>
      <c r="D356" s="6" t="s">
        <v>60</v>
      </c>
      <c r="E356" s="4" t="s">
        <v>993</v>
      </c>
      <c r="F356" s="4" t="s">
        <v>994</v>
      </c>
      <c r="G356" s="62">
        <v>46220</v>
      </c>
      <c r="H356" s="90">
        <v>45560</v>
      </c>
      <c r="I356" s="11">
        <f t="shared" ca="1" si="21"/>
        <v>55</v>
      </c>
      <c r="J356" s="91">
        <f t="shared" si="22"/>
        <v>46584</v>
      </c>
      <c r="K356" s="9">
        <f>EDATE(H356-1,12*5)</f>
        <v>47385</v>
      </c>
    </row>
    <row r="357" spans="1:11" x14ac:dyDescent="0.25">
      <c r="A357" s="6">
        <v>92290225</v>
      </c>
      <c r="B357" s="6" t="s">
        <v>571</v>
      </c>
      <c r="C357" s="6" t="s">
        <v>995</v>
      </c>
      <c r="D357" s="6" t="s">
        <v>13</v>
      </c>
      <c r="E357" s="12">
        <v>24913</v>
      </c>
      <c r="F357" s="12">
        <v>32598</v>
      </c>
      <c r="G357" s="59">
        <v>46219</v>
      </c>
      <c r="H357" s="46">
        <v>45147</v>
      </c>
      <c r="I357" s="11">
        <f t="shared" ca="1" si="21"/>
        <v>58</v>
      </c>
      <c r="J357" s="92">
        <f t="shared" si="22"/>
        <v>46583</v>
      </c>
      <c r="K357" s="9">
        <f>EDATE(H357-1,12*5)</f>
        <v>46973</v>
      </c>
    </row>
    <row r="358" spans="1:11" x14ac:dyDescent="0.25">
      <c r="A358" s="6">
        <v>92493033</v>
      </c>
      <c r="B358" s="6" t="s">
        <v>996</v>
      </c>
      <c r="C358" s="6" t="s">
        <v>997</v>
      </c>
      <c r="D358" s="6" t="s">
        <v>35</v>
      </c>
      <c r="E358" s="12">
        <v>25845</v>
      </c>
      <c r="F358" s="4" t="s">
        <v>998</v>
      </c>
      <c r="G358" s="59">
        <v>45874</v>
      </c>
      <c r="H358" s="46">
        <v>45507</v>
      </c>
      <c r="I358" s="2">
        <f t="shared" ca="1" si="21"/>
        <v>55</v>
      </c>
      <c r="J358" s="91">
        <f t="shared" si="22"/>
        <v>46238</v>
      </c>
      <c r="K358" s="9">
        <f>EDATE(H358-1,12*5)</f>
        <v>47332</v>
      </c>
    </row>
    <row r="359" spans="1:11" x14ac:dyDescent="0.25">
      <c r="A359" s="6">
        <v>92289589</v>
      </c>
      <c r="B359" s="6" t="s">
        <v>999</v>
      </c>
      <c r="C359" s="6" t="s">
        <v>1000</v>
      </c>
      <c r="D359" s="6" t="s">
        <v>35</v>
      </c>
      <c r="E359" s="12">
        <v>25668</v>
      </c>
      <c r="F359" s="12">
        <v>34943</v>
      </c>
      <c r="G359" s="59">
        <v>46191</v>
      </c>
      <c r="H359" s="46">
        <v>45139</v>
      </c>
      <c r="I359" s="11">
        <f t="shared" ca="1" si="21"/>
        <v>56</v>
      </c>
      <c r="J359" s="91">
        <f t="shared" si="22"/>
        <v>46555</v>
      </c>
      <c r="K359" s="9">
        <f>EDATE(H359-1,12*5)</f>
        <v>46965</v>
      </c>
    </row>
    <row r="360" spans="1:11" x14ac:dyDescent="0.25">
      <c r="A360" s="6">
        <v>92494182</v>
      </c>
      <c r="B360" s="6" t="s">
        <v>1001</v>
      </c>
      <c r="C360" s="6" t="s">
        <v>972</v>
      </c>
      <c r="D360" s="6" t="s">
        <v>18</v>
      </c>
      <c r="E360" s="4" t="s">
        <v>1002</v>
      </c>
      <c r="F360" s="4" t="s">
        <v>65</v>
      </c>
      <c r="G360" s="59">
        <v>45861</v>
      </c>
      <c r="H360" s="84">
        <v>44105</v>
      </c>
      <c r="I360" s="2">
        <f t="shared" ca="1" si="21"/>
        <v>55</v>
      </c>
      <c r="J360" s="92">
        <f t="shared" si="22"/>
        <v>46225</v>
      </c>
      <c r="K360" s="24">
        <f>EDATE(H360-1,12*5)</f>
        <v>45930</v>
      </c>
    </row>
    <row r="361" spans="1:11" x14ac:dyDescent="0.25">
      <c r="A361" s="6">
        <v>92492978</v>
      </c>
      <c r="B361" s="17" t="s">
        <v>16</v>
      </c>
      <c r="C361" s="17" t="s">
        <v>1003</v>
      </c>
      <c r="D361" s="6" t="s">
        <v>372</v>
      </c>
      <c r="E361" s="4" t="s">
        <v>1004</v>
      </c>
      <c r="F361" s="4" t="s">
        <v>1005</v>
      </c>
      <c r="G361" s="59">
        <v>45924</v>
      </c>
      <c r="H361" s="46">
        <v>45859</v>
      </c>
      <c r="I361" s="11">
        <f t="shared" ca="1" si="21"/>
        <v>56</v>
      </c>
      <c r="J361" s="92">
        <f t="shared" si="22"/>
        <v>46288</v>
      </c>
      <c r="K361" s="9">
        <f>EDATE(H361-1,12*5)</f>
        <v>47684</v>
      </c>
    </row>
    <row r="362" spans="1:11" x14ac:dyDescent="0.25">
      <c r="A362" s="6">
        <v>92493026</v>
      </c>
      <c r="B362" s="17" t="s">
        <v>1006</v>
      </c>
      <c r="C362" s="17" t="s">
        <v>67</v>
      </c>
      <c r="D362" s="6" t="s">
        <v>372</v>
      </c>
      <c r="E362" s="4" t="s">
        <v>1007</v>
      </c>
      <c r="F362" s="4" t="s">
        <v>1008</v>
      </c>
      <c r="G362" s="59">
        <v>46094</v>
      </c>
      <c r="H362" s="46">
        <v>45741</v>
      </c>
      <c r="I362" s="11">
        <f t="shared" ca="1" si="21"/>
        <v>59</v>
      </c>
      <c r="J362" s="59">
        <f t="shared" si="22"/>
        <v>46458</v>
      </c>
      <c r="K362" s="9">
        <f>EDATE(H362-1,12*5)</f>
        <v>47566</v>
      </c>
    </row>
    <row r="363" spans="1:11" x14ac:dyDescent="0.25">
      <c r="A363" s="6">
        <v>92492992</v>
      </c>
      <c r="B363" s="44" t="s">
        <v>1009</v>
      </c>
      <c r="C363" s="17" t="s">
        <v>1010</v>
      </c>
      <c r="D363" s="6" t="s">
        <v>372</v>
      </c>
      <c r="E363" s="12">
        <v>25089</v>
      </c>
      <c r="F363" s="12">
        <v>33851</v>
      </c>
      <c r="G363" s="61">
        <v>46175</v>
      </c>
      <c r="H363" s="46">
        <v>45528</v>
      </c>
      <c r="I363" s="11">
        <f t="shared" ca="1" si="21"/>
        <v>57</v>
      </c>
      <c r="J363" s="59">
        <f>EDATE(G363-1,12)</f>
        <v>46539</v>
      </c>
      <c r="K363" s="9">
        <f>EDATE(H363-1,12*5)</f>
        <v>47353</v>
      </c>
    </row>
    <row r="364" spans="1:11" x14ac:dyDescent="0.25">
      <c r="A364" s="6">
        <v>24907534</v>
      </c>
      <c r="B364" s="17" t="s">
        <v>459</v>
      </c>
      <c r="C364" s="17" t="s">
        <v>430</v>
      </c>
      <c r="D364" s="6" t="s">
        <v>64</v>
      </c>
      <c r="E364" s="12">
        <v>31757</v>
      </c>
      <c r="F364" s="12">
        <v>40555</v>
      </c>
      <c r="G364" s="61">
        <v>45776</v>
      </c>
      <c r="H364" s="46">
        <v>45882</v>
      </c>
      <c r="I364" s="11">
        <f t="shared" ca="1" si="21"/>
        <v>39</v>
      </c>
      <c r="J364" s="91">
        <f>EDATE(G364-1,60)</f>
        <v>47601</v>
      </c>
      <c r="K364" s="9">
        <f>EDATE(H364-1,12*5)</f>
        <v>47707</v>
      </c>
    </row>
    <row r="365" spans="1:11" x14ac:dyDescent="0.25">
      <c r="A365" s="6">
        <v>92492994</v>
      </c>
      <c r="B365" s="42" t="s">
        <v>1011</v>
      </c>
      <c r="C365" s="17" t="s">
        <v>1012</v>
      </c>
      <c r="D365" s="6" t="s">
        <v>277</v>
      </c>
      <c r="E365" s="12">
        <v>24504</v>
      </c>
      <c r="F365" s="4" t="s">
        <v>1013</v>
      </c>
      <c r="G365" s="61">
        <v>46181</v>
      </c>
      <c r="H365" s="46">
        <v>44622</v>
      </c>
      <c r="I365" s="11">
        <f t="shared" ca="1" si="21"/>
        <v>59</v>
      </c>
      <c r="J365" s="59">
        <f>EDATE(G365-1,12)</f>
        <v>46545</v>
      </c>
      <c r="K365" s="9">
        <f>EDATE(H365-1,12*5)</f>
        <v>46447</v>
      </c>
    </row>
    <row r="366" spans="1:11" x14ac:dyDescent="0.25">
      <c r="A366" s="6">
        <v>92493085</v>
      </c>
      <c r="B366" s="17" t="s">
        <v>480</v>
      </c>
      <c r="C366" s="17" t="s">
        <v>1014</v>
      </c>
      <c r="D366" s="6" t="s">
        <v>277</v>
      </c>
      <c r="E366" s="4" t="s">
        <v>1015</v>
      </c>
      <c r="F366" s="12">
        <v>35074</v>
      </c>
      <c r="G366" s="59">
        <v>45397</v>
      </c>
      <c r="H366" s="46">
        <v>46116</v>
      </c>
      <c r="I366" s="11">
        <f t="shared" ca="1" si="21"/>
        <v>51</v>
      </c>
      <c r="J366" s="59">
        <f>EDATE(G366-1,36)</f>
        <v>46491</v>
      </c>
      <c r="K366" s="9">
        <f>EDATE(H366-1,12*5)</f>
        <v>47941</v>
      </c>
    </row>
    <row r="367" spans="1:11" x14ac:dyDescent="0.25">
      <c r="A367" s="6">
        <v>92492995</v>
      </c>
      <c r="B367" s="17" t="s">
        <v>1016</v>
      </c>
      <c r="C367" s="17" t="s">
        <v>1017</v>
      </c>
      <c r="D367" s="6" t="s">
        <v>270</v>
      </c>
      <c r="E367" s="12">
        <v>25020</v>
      </c>
      <c r="F367" s="4" t="s">
        <v>1013</v>
      </c>
      <c r="G367" s="59">
        <v>46181</v>
      </c>
      <c r="H367" s="46">
        <v>46113</v>
      </c>
      <c r="I367" s="11">
        <f t="shared" ca="1" si="21"/>
        <v>58</v>
      </c>
      <c r="J367" s="92">
        <f t="shared" ref="J367:J375" si="23">EDATE(G367-1,12)</f>
        <v>46545</v>
      </c>
      <c r="K367" s="9">
        <f>EDATE(H367-1,12*5)</f>
        <v>47938</v>
      </c>
    </row>
    <row r="368" spans="1:11" x14ac:dyDescent="0.25">
      <c r="A368" s="6">
        <v>92492942</v>
      </c>
      <c r="B368" s="17" t="s">
        <v>1018</v>
      </c>
      <c r="C368" s="17" t="s">
        <v>1019</v>
      </c>
      <c r="D368" s="6" t="s">
        <v>270</v>
      </c>
      <c r="E368" s="12">
        <v>25208</v>
      </c>
      <c r="F368" s="4" t="s">
        <v>466</v>
      </c>
      <c r="G368" s="61">
        <v>45786</v>
      </c>
      <c r="H368" s="46">
        <v>44657</v>
      </c>
      <c r="I368" s="11">
        <f t="shared" ca="1" si="21"/>
        <v>57</v>
      </c>
      <c r="J368" s="59">
        <f t="shared" si="23"/>
        <v>46150</v>
      </c>
      <c r="K368" s="9">
        <f>EDATE(H368-1,12*5)</f>
        <v>46482</v>
      </c>
    </row>
    <row r="369" spans="1:11" x14ac:dyDescent="0.25">
      <c r="A369" s="6">
        <v>92493168</v>
      </c>
      <c r="B369" s="17" t="s">
        <v>1020</v>
      </c>
      <c r="C369" s="17" t="s">
        <v>499</v>
      </c>
      <c r="D369" s="6" t="s">
        <v>289</v>
      </c>
      <c r="E369" s="12">
        <v>25324</v>
      </c>
      <c r="F369" s="12">
        <v>37561</v>
      </c>
      <c r="G369" s="59">
        <v>46107</v>
      </c>
      <c r="H369" s="46">
        <v>45600</v>
      </c>
      <c r="I369" s="11">
        <f t="shared" ca="1" si="21"/>
        <v>57</v>
      </c>
      <c r="J369" s="72">
        <f t="shared" si="23"/>
        <v>46471</v>
      </c>
      <c r="K369" s="9">
        <f>EDATE(H369-1,12*5)</f>
        <v>47425</v>
      </c>
    </row>
    <row r="370" spans="1:11" x14ac:dyDescent="0.25">
      <c r="A370" s="6">
        <v>92291272</v>
      </c>
      <c r="B370" s="17" t="s">
        <v>1021</v>
      </c>
      <c r="C370" s="17" t="s">
        <v>1022</v>
      </c>
      <c r="D370" s="6" t="s">
        <v>780</v>
      </c>
      <c r="E370" s="12">
        <v>25088</v>
      </c>
      <c r="F370" s="4" t="s">
        <v>1023</v>
      </c>
      <c r="G370" s="59">
        <v>46210</v>
      </c>
      <c r="H370" s="86">
        <v>45709</v>
      </c>
      <c r="I370" s="11">
        <f t="shared" ca="1" si="21"/>
        <v>57</v>
      </c>
      <c r="J370" s="72">
        <f t="shared" si="23"/>
        <v>46574</v>
      </c>
      <c r="K370" s="9">
        <f>EDATE(H370-1,12*5)</f>
        <v>47534</v>
      </c>
    </row>
    <row r="371" spans="1:11" x14ac:dyDescent="0.25">
      <c r="A371" s="6">
        <v>92493025</v>
      </c>
      <c r="B371" s="17" t="s">
        <v>1024</v>
      </c>
      <c r="C371" s="17" t="s">
        <v>854</v>
      </c>
      <c r="D371" s="6" t="s">
        <v>913</v>
      </c>
      <c r="E371" s="4" t="s">
        <v>1025</v>
      </c>
      <c r="F371" s="4" t="s">
        <v>1008</v>
      </c>
      <c r="G371" s="61">
        <v>46217</v>
      </c>
      <c r="H371" s="46">
        <v>46097</v>
      </c>
      <c r="I371" s="11">
        <f t="shared" ca="1" si="21"/>
        <v>57</v>
      </c>
      <c r="J371" s="59">
        <f t="shared" si="23"/>
        <v>46581</v>
      </c>
      <c r="K371" s="9">
        <f>EDATE(H371-1,12*5)</f>
        <v>47922</v>
      </c>
    </row>
    <row r="372" spans="1:11" x14ac:dyDescent="0.25">
      <c r="A372" s="6"/>
      <c r="B372" s="17"/>
      <c r="C372" s="17"/>
      <c r="D372" s="6"/>
      <c r="E372" s="4"/>
      <c r="F372" s="4"/>
      <c r="G372" s="59"/>
      <c r="H372" s="46"/>
      <c r="I372" s="11"/>
      <c r="J372" s="92"/>
      <c r="K372" s="9"/>
    </row>
    <row r="373" spans="1:11" x14ac:dyDescent="0.25">
      <c r="A373" s="6">
        <v>92292572</v>
      </c>
      <c r="B373" s="17" t="s">
        <v>1026</v>
      </c>
      <c r="C373" s="17" t="s">
        <v>854</v>
      </c>
      <c r="D373" s="6" t="s">
        <v>124</v>
      </c>
      <c r="E373" s="12">
        <v>24838</v>
      </c>
      <c r="F373" s="4" t="s">
        <v>1027</v>
      </c>
      <c r="G373" s="59">
        <v>46185</v>
      </c>
      <c r="H373" s="46">
        <v>45859</v>
      </c>
      <c r="I373" s="11">
        <f t="shared" ca="1" si="21"/>
        <v>58</v>
      </c>
      <c r="J373" s="92">
        <f t="shared" si="23"/>
        <v>46549</v>
      </c>
      <c r="K373" s="9">
        <f>EDATE(H373-1,12*5)</f>
        <v>47684</v>
      </c>
    </row>
    <row r="374" spans="1:11" x14ac:dyDescent="0.25">
      <c r="A374" s="6">
        <v>92292626</v>
      </c>
      <c r="B374" s="17" t="s">
        <v>1028</v>
      </c>
      <c r="C374" s="17" t="s">
        <v>1029</v>
      </c>
      <c r="D374" s="6" t="s">
        <v>124</v>
      </c>
      <c r="E374" s="12">
        <v>25610</v>
      </c>
      <c r="F374" s="12">
        <v>34275</v>
      </c>
      <c r="G374" s="59">
        <v>46134</v>
      </c>
      <c r="H374" s="46">
        <v>45559</v>
      </c>
      <c r="I374" s="11">
        <f t="shared" ca="1" si="21"/>
        <v>56</v>
      </c>
      <c r="J374" s="59">
        <f t="shared" si="23"/>
        <v>46498</v>
      </c>
      <c r="K374" s="9">
        <f>EDATE(H374-1,12*5)</f>
        <v>47384</v>
      </c>
    </row>
    <row r="375" spans="1:11" x14ac:dyDescent="0.25">
      <c r="A375" s="6">
        <v>92494140</v>
      </c>
      <c r="B375" s="17" t="s">
        <v>1030</v>
      </c>
      <c r="C375" s="17" t="s">
        <v>1031</v>
      </c>
      <c r="D375" s="6" t="s">
        <v>124</v>
      </c>
      <c r="E375" s="4" t="s">
        <v>615</v>
      </c>
      <c r="F375" s="12">
        <v>32547</v>
      </c>
      <c r="G375" s="59">
        <v>46210</v>
      </c>
      <c r="H375" s="46">
        <v>46174</v>
      </c>
      <c r="I375" s="11">
        <f t="shared" ca="1" si="21"/>
        <v>59</v>
      </c>
      <c r="J375" s="92">
        <f t="shared" si="23"/>
        <v>46574</v>
      </c>
      <c r="K375" s="9">
        <f>EDATE(H375-1,12*5)</f>
        <v>47999</v>
      </c>
    </row>
    <row r="376" spans="1:11" x14ac:dyDescent="0.25">
      <c r="A376" s="6">
        <v>24907535</v>
      </c>
      <c r="B376" s="17" t="s">
        <v>1032</v>
      </c>
      <c r="C376" s="17" t="s">
        <v>1033</v>
      </c>
      <c r="D376" s="6" t="s">
        <v>242</v>
      </c>
      <c r="E376" s="4" t="s">
        <v>1034</v>
      </c>
      <c r="F376" s="12">
        <v>40728</v>
      </c>
      <c r="G376" s="59">
        <v>45602</v>
      </c>
      <c r="H376" s="46">
        <v>45335</v>
      </c>
      <c r="I376" s="11">
        <f t="shared" ca="1" si="21"/>
        <v>47</v>
      </c>
      <c r="J376" s="59">
        <f>EDATE(G376-1,36)</f>
        <v>46696</v>
      </c>
      <c r="K376" s="9">
        <f>EDATE(H376-1,12*5)</f>
        <v>47161</v>
      </c>
    </row>
    <row r="377" spans="1:11" x14ac:dyDescent="0.25">
      <c r="A377" s="6">
        <v>92492880</v>
      </c>
      <c r="B377" s="17" t="s">
        <v>1000</v>
      </c>
      <c r="C377" s="17" t="s">
        <v>1035</v>
      </c>
      <c r="D377" s="6" t="s">
        <v>333</v>
      </c>
      <c r="E377" s="12">
        <v>25052</v>
      </c>
      <c r="F377" s="12">
        <v>32678</v>
      </c>
      <c r="G377" s="59">
        <v>46077</v>
      </c>
      <c r="H377" s="46">
        <v>46207</v>
      </c>
      <c r="I377" s="11">
        <f t="shared" ca="1" si="21"/>
        <v>58</v>
      </c>
      <c r="J377" s="59">
        <f t="shared" ref="J377:J383" si="24">EDATE(G377-1,12)</f>
        <v>46441</v>
      </c>
      <c r="K377" s="9">
        <f>EDATE(H377-1,12*5)</f>
        <v>48032</v>
      </c>
    </row>
    <row r="378" spans="1:11" x14ac:dyDescent="0.25">
      <c r="A378" s="6">
        <v>92493056</v>
      </c>
      <c r="B378" s="41" t="s">
        <v>1036</v>
      </c>
      <c r="C378" s="17" t="s">
        <v>1037</v>
      </c>
      <c r="D378" s="6" t="s">
        <v>333</v>
      </c>
      <c r="E378" s="12">
        <v>24754</v>
      </c>
      <c r="F378" s="12">
        <v>34159</v>
      </c>
      <c r="G378" s="59">
        <v>46076</v>
      </c>
      <c r="H378" s="80">
        <v>45798</v>
      </c>
      <c r="I378" s="11">
        <f t="shared" ca="1" si="21"/>
        <v>58</v>
      </c>
      <c r="J378" s="59">
        <f t="shared" si="24"/>
        <v>46440</v>
      </c>
      <c r="K378" s="9">
        <f>EDATE(H378-1,12*5)</f>
        <v>47623</v>
      </c>
    </row>
    <row r="379" spans="1:11" x14ac:dyDescent="0.25">
      <c r="A379" s="6">
        <v>92493930</v>
      </c>
      <c r="B379" s="17" t="s">
        <v>1038</v>
      </c>
      <c r="C379" s="17" t="s">
        <v>1039</v>
      </c>
      <c r="D379" s="6" t="s">
        <v>333</v>
      </c>
      <c r="E379" s="4" t="s">
        <v>1040</v>
      </c>
      <c r="F379" s="12">
        <v>32969</v>
      </c>
      <c r="G379" s="59">
        <v>46114</v>
      </c>
      <c r="H379" s="46">
        <v>45108</v>
      </c>
      <c r="I379" s="11">
        <f t="shared" ca="1" si="21"/>
        <v>56</v>
      </c>
      <c r="J379" s="59">
        <f t="shared" si="24"/>
        <v>46478</v>
      </c>
      <c r="K379" s="9">
        <f>EDATE(H379-1,12*5)</f>
        <v>46934</v>
      </c>
    </row>
    <row r="380" spans="1:11" x14ac:dyDescent="0.25">
      <c r="A380" s="6"/>
      <c r="B380" s="17"/>
      <c r="C380" s="17"/>
      <c r="D380" s="6"/>
      <c r="E380" s="12"/>
      <c r="F380" s="12"/>
      <c r="G380" s="59"/>
      <c r="H380" s="46"/>
      <c r="I380" s="11"/>
      <c r="J380" s="91"/>
      <c r="K380" s="9"/>
    </row>
    <row r="381" spans="1:11" x14ac:dyDescent="0.25">
      <c r="A381" s="6">
        <v>92290462</v>
      </c>
      <c r="B381" s="17" t="s">
        <v>1041</v>
      </c>
      <c r="C381" s="17" t="s">
        <v>1042</v>
      </c>
      <c r="D381" s="6" t="s">
        <v>336</v>
      </c>
      <c r="E381" s="12">
        <v>25573</v>
      </c>
      <c r="F381" s="12">
        <v>33279</v>
      </c>
      <c r="G381" s="59">
        <v>46132</v>
      </c>
      <c r="H381" s="86">
        <v>45973</v>
      </c>
      <c r="I381" s="11">
        <f t="shared" ca="1" si="21"/>
        <v>56</v>
      </c>
      <c r="J381" s="72">
        <f t="shared" si="24"/>
        <v>46496</v>
      </c>
      <c r="K381" s="9">
        <f>EDATE(H381-1,12*5)</f>
        <v>47798</v>
      </c>
    </row>
    <row r="382" spans="1:11" x14ac:dyDescent="0.25">
      <c r="A382" s="6"/>
      <c r="B382" s="17"/>
      <c r="C382" s="17"/>
      <c r="D382" s="6"/>
      <c r="E382" s="12"/>
      <c r="F382" s="12"/>
      <c r="G382" s="59"/>
      <c r="H382" s="46"/>
      <c r="I382" s="2"/>
      <c r="J382" s="91"/>
      <c r="K382" s="9"/>
    </row>
    <row r="383" spans="1:11" x14ac:dyDescent="0.25">
      <c r="A383" s="6">
        <v>92493121</v>
      </c>
      <c r="B383" s="17" t="s">
        <v>1043</v>
      </c>
      <c r="C383" s="17" t="s">
        <v>1044</v>
      </c>
      <c r="D383" s="6" t="s">
        <v>336</v>
      </c>
      <c r="E383" s="12">
        <v>26855</v>
      </c>
      <c r="F383" s="4" t="s">
        <v>619</v>
      </c>
      <c r="G383" s="59">
        <v>46231</v>
      </c>
      <c r="H383" s="46">
        <v>44639</v>
      </c>
      <c r="I383" s="2">
        <f t="shared" ca="1" si="21"/>
        <v>53</v>
      </c>
      <c r="J383" s="92">
        <f t="shared" si="24"/>
        <v>46595</v>
      </c>
      <c r="K383" s="9">
        <f>EDATE(H383-1,12*5)</f>
        <v>46464</v>
      </c>
    </row>
    <row r="384" spans="1:11" x14ac:dyDescent="0.25">
      <c r="A384" s="6">
        <v>24907320</v>
      </c>
      <c r="B384" s="6" t="s">
        <v>1045</v>
      </c>
      <c r="C384" s="6" t="s">
        <v>1046</v>
      </c>
      <c r="D384" s="6" t="s">
        <v>60</v>
      </c>
      <c r="E384" s="4" t="s">
        <v>1047</v>
      </c>
      <c r="F384" s="12">
        <v>40439</v>
      </c>
      <c r="G384" s="59">
        <v>45673</v>
      </c>
      <c r="H384" s="46">
        <v>44722</v>
      </c>
      <c r="I384" s="11">
        <f t="shared" ca="1" si="21"/>
        <v>41</v>
      </c>
      <c r="J384" s="59">
        <f>EDATE(G384-1,60)</f>
        <v>47498</v>
      </c>
      <c r="K384" s="9">
        <f>EDATE(H384-1,12*5)</f>
        <v>46547</v>
      </c>
    </row>
    <row r="385" spans="1:11" x14ac:dyDescent="0.25">
      <c r="A385" s="6">
        <v>92493039</v>
      </c>
      <c r="B385" s="6" t="s">
        <v>1048</v>
      </c>
      <c r="C385" s="6" t="s">
        <v>1049</v>
      </c>
      <c r="D385" s="6" t="s">
        <v>60</v>
      </c>
      <c r="E385" s="12">
        <v>25844</v>
      </c>
      <c r="F385" s="12">
        <v>33994</v>
      </c>
      <c r="G385" s="59">
        <v>46183</v>
      </c>
      <c r="H385" s="46">
        <v>46198</v>
      </c>
      <c r="I385" s="11">
        <f t="shared" ca="1" si="21"/>
        <v>55</v>
      </c>
      <c r="J385" s="59">
        <f>EDATE(G385-1,12)</f>
        <v>46547</v>
      </c>
      <c r="K385" s="9">
        <f>EDATE(H385-1,12*5)</f>
        <v>48023</v>
      </c>
    </row>
    <row r="386" spans="1:11" x14ac:dyDescent="0.25">
      <c r="A386" s="6">
        <v>92290427</v>
      </c>
      <c r="B386" s="6" t="s">
        <v>1050</v>
      </c>
      <c r="C386" s="6" t="s">
        <v>1051</v>
      </c>
      <c r="D386" s="6" t="s">
        <v>35</v>
      </c>
      <c r="E386" s="12">
        <v>25265</v>
      </c>
      <c r="F386" s="12">
        <v>33308</v>
      </c>
      <c r="G386" s="59">
        <v>45821</v>
      </c>
      <c r="H386" s="46">
        <v>45422</v>
      </c>
      <c r="I386" s="11">
        <f t="shared" ca="1" si="21"/>
        <v>57</v>
      </c>
      <c r="J386" s="91">
        <f>EDATE(G386-1,12)</f>
        <v>46185</v>
      </c>
      <c r="K386" s="9">
        <f>EDATE(H386-1,12*5)</f>
        <v>47247</v>
      </c>
    </row>
    <row r="387" spans="1:11" x14ac:dyDescent="0.25">
      <c r="A387" s="6">
        <v>92493104</v>
      </c>
      <c r="B387" s="45" t="s">
        <v>882</v>
      </c>
      <c r="C387" s="6" t="s">
        <v>1052</v>
      </c>
      <c r="D387" s="6" t="s">
        <v>35</v>
      </c>
      <c r="E387" s="4" t="s">
        <v>1053</v>
      </c>
      <c r="F387" s="4" t="s">
        <v>1054</v>
      </c>
      <c r="G387" s="61">
        <v>46077</v>
      </c>
      <c r="H387" s="86">
        <v>46106</v>
      </c>
      <c r="I387" s="11">
        <f t="shared" ca="1" si="21"/>
        <v>54</v>
      </c>
      <c r="J387" s="72">
        <f>EDATE(G387-1,12)</f>
        <v>46441</v>
      </c>
      <c r="K387" s="9">
        <f>EDATE(H387-1,12*5)</f>
        <v>47931</v>
      </c>
    </row>
    <row r="388" spans="1:11" x14ac:dyDescent="0.25">
      <c r="A388" s="6">
        <v>24901921</v>
      </c>
      <c r="B388" s="6" t="s">
        <v>1055</v>
      </c>
      <c r="C388" s="6" t="s">
        <v>136</v>
      </c>
      <c r="D388" s="6" t="s">
        <v>362</v>
      </c>
      <c r="E388" s="12">
        <v>30973</v>
      </c>
      <c r="F388" s="4" t="s">
        <v>1056</v>
      </c>
      <c r="G388" s="59">
        <v>45411</v>
      </c>
      <c r="H388" s="46">
        <v>45752</v>
      </c>
      <c r="I388" s="11">
        <f t="shared" ca="1" si="21"/>
        <v>41</v>
      </c>
      <c r="J388" s="59">
        <f>EDATE(G388-1,60)</f>
        <v>47236</v>
      </c>
      <c r="K388" s="9">
        <f>EDATE(H388-1,12*5)</f>
        <v>47577</v>
      </c>
    </row>
    <row r="389" spans="1:11" x14ac:dyDescent="0.25">
      <c r="A389" s="6">
        <v>24911515</v>
      </c>
      <c r="B389" s="17" t="s">
        <v>1057</v>
      </c>
      <c r="C389" s="17" t="s">
        <v>965</v>
      </c>
      <c r="D389" s="6" t="s">
        <v>1058</v>
      </c>
      <c r="E389" s="12">
        <v>29401</v>
      </c>
      <c r="F389" s="12">
        <v>41956</v>
      </c>
      <c r="G389" s="59">
        <v>45498</v>
      </c>
      <c r="H389" s="46">
        <v>45531</v>
      </c>
      <c r="I389" s="11">
        <f t="shared" ca="1" si="21"/>
        <v>46</v>
      </c>
      <c r="J389" s="59">
        <f>EDATE(G389-1,60)</f>
        <v>47323</v>
      </c>
      <c r="K389" s="9">
        <f>EDATE(H389-1,12*5)</f>
        <v>47356</v>
      </c>
    </row>
    <row r="390" spans="1:11" x14ac:dyDescent="0.25">
      <c r="A390" s="6">
        <v>58002976</v>
      </c>
      <c r="B390" s="17" t="s">
        <v>1059</v>
      </c>
      <c r="C390" s="17" t="s">
        <v>1060</v>
      </c>
      <c r="D390" s="6" t="s">
        <v>362</v>
      </c>
      <c r="E390" s="12">
        <v>34509</v>
      </c>
      <c r="F390" s="12">
        <v>44786</v>
      </c>
      <c r="G390" s="65" t="s">
        <v>1061</v>
      </c>
      <c r="H390" s="46">
        <v>44846</v>
      </c>
      <c r="I390" s="11">
        <f t="shared" ca="1" si="21"/>
        <v>32</v>
      </c>
      <c r="J390" s="77" t="s">
        <v>513</v>
      </c>
      <c r="K390" s="9">
        <f>EDATE(H390-1,12*5)</f>
        <v>46671</v>
      </c>
    </row>
    <row r="391" spans="1:11" x14ac:dyDescent="0.25">
      <c r="A391" s="6">
        <v>58003873</v>
      </c>
      <c r="B391" s="17" t="s">
        <v>1062</v>
      </c>
      <c r="C391" s="17" t="s">
        <v>1063</v>
      </c>
      <c r="D391" s="6" t="s">
        <v>362</v>
      </c>
      <c r="E391" s="12">
        <v>35254</v>
      </c>
      <c r="F391" s="12">
        <v>44830</v>
      </c>
      <c r="G391" s="65" t="s">
        <v>1061</v>
      </c>
      <c r="H391" s="46">
        <v>44890</v>
      </c>
      <c r="I391" s="11">
        <v>29</v>
      </c>
      <c r="J391" s="77" t="s">
        <v>513</v>
      </c>
      <c r="K391" s="9">
        <f>EDATE(H391-1,12*5)</f>
        <v>46715</v>
      </c>
    </row>
    <row r="392" spans="1:11" x14ac:dyDescent="0.25">
      <c r="A392" s="6">
        <v>24917879</v>
      </c>
      <c r="B392" s="17" t="s">
        <v>1064</v>
      </c>
      <c r="C392" s="17" t="s">
        <v>1065</v>
      </c>
      <c r="D392" s="6" t="s">
        <v>362</v>
      </c>
      <c r="E392" s="4"/>
      <c r="F392" s="12"/>
      <c r="G392" s="59">
        <v>45410</v>
      </c>
      <c r="H392" s="46">
        <v>46097</v>
      </c>
      <c r="I392" s="11">
        <f ca="1">DATEDIF(E392,TODAY(),"y")</f>
        <v>126</v>
      </c>
      <c r="J392" s="59">
        <f>EDATE(G392-1,60)</f>
        <v>47235</v>
      </c>
      <c r="K392" s="9">
        <f>EDATE(H392-1,12*5)</f>
        <v>47922</v>
      </c>
    </row>
    <row r="393" spans="1:11" x14ac:dyDescent="0.25">
      <c r="A393" s="50">
        <v>58012733</v>
      </c>
      <c r="B393" s="29" t="s">
        <v>1066</v>
      </c>
      <c r="C393" s="29" t="s">
        <v>1067</v>
      </c>
      <c r="D393" s="6" t="s">
        <v>362</v>
      </c>
      <c r="G393" s="73" t="s">
        <v>512</v>
      </c>
      <c r="H393" s="71">
        <v>45527</v>
      </c>
      <c r="I393" s="11">
        <f ca="1">DATEDIF(E393,TODAY(),"y")</f>
        <v>126</v>
      </c>
      <c r="J393" s="73" t="s">
        <v>512</v>
      </c>
      <c r="K393" s="9">
        <f>EDATE(H393-1,12*5)</f>
        <v>47352</v>
      </c>
    </row>
    <row r="394" spans="1:11" x14ac:dyDescent="0.25">
      <c r="A394" s="51">
        <v>58012729</v>
      </c>
      <c r="B394" s="30" t="s">
        <v>1068</v>
      </c>
      <c r="C394" s="30" t="s">
        <v>1069</v>
      </c>
      <c r="D394" s="6" t="s">
        <v>362</v>
      </c>
      <c r="G394" s="73" t="s">
        <v>512</v>
      </c>
      <c r="H394" s="71">
        <v>45531</v>
      </c>
      <c r="I394" s="11">
        <f ca="1">DATEDIF(E394,TODAY(),"y")</f>
        <v>126</v>
      </c>
      <c r="J394" s="73" t="s">
        <v>512</v>
      </c>
      <c r="K394" s="9">
        <f>EDATE(H394-1,12*5)</f>
        <v>47356</v>
      </c>
    </row>
    <row r="395" spans="1:11" x14ac:dyDescent="0.25">
      <c r="B395" t="s">
        <v>1070</v>
      </c>
      <c r="C395" t="s">
        <v>1071</v>
      </c>
      <c r="D395" t="s">
        <v>775</v>
      </c>
      <c r="G395" s="67" t="s">
        <v>513</v>
      </c>
      <c r="H395" s="71">
        <v>45705</v>
      </c>
      <c r="I395" s="11"/>
      <c r="J395" s="67" t="s">
        <v>513</v>
      </c>
      <c r="K395" s="9">
        <f>EDATE(H395-1,12*5)</f>
        <v>47530</v>
      </c>
    </row>
    <row r="396" spans="1:11" x14ac:dyDescent="0.25">
      <c r="B396" t="s">
        <v>1072</v>
      </c>
      <c r="C396" t="s">
        <v>1073</v>
      </c>
      <c r="D396" s="40" t="s">
        <v>1074</v>
      </c>
      <c r="G396" s="67" t="s">
        <v>513</v>
      </c>
      <c r="H396" s="71">
        <v>45719</v>
      </c>
      <c r="I396" s="11"/>
      <c r="J396" s="67" t="s">
        <v>513</v>
      </c>
      <c r="K396" s="9">
        <f>EDATE(H396-1,12*5)</f>
        <v>47544</v>
      </c>
    </row>
    <row r="397" spans="1:11" x14ac:dyDescent="0.25">
      <c r="A397" s="11">
        <v>92291245</v>
      </c>
      <c r="B397" t="s">
        <v>1075</v>
      </c>
      <c r="C397" t="s">
        <v>1076</v>
      </c>
      <c r="D397" s="40" t="s">
        <v>780</v>
      </c>
      <c r="G397" s="71">
        <v>45779</v>
      </c>
      <c r="H397" s="71">
        <v>45801</v>
      </c>
      <c r="I397" s="11"/>
      <c r="J397" s="59">
        <f>EDATE(G397-1,60)</f>
        <v>47604</v>
      </c>
      <c r="K397" s="9">
        <f>EDATE(H397-1,12*5)</f>
        <v>47626</v>
      </c>
    </row>
    <row r="398" spans="1:11" x14ac:dyDescent="0.25">
      <c r="A398" s="11">
        <v>92291244</v>
      </c>
      <c r="B398" t="s">
        <v>1077</v>
      </c>
      <c r="C398" t="s">
        <v>1078</v>
      </c>
      <c r="D398" s="40" t="s">
        <v>1079</v>
      </c>
      <c r="G398" s="71">
        <v>46168</v>
      </c>
      <c r="H398" s="71">
        <v>45801</v>
      </c>
      <c r="I398" s="11"/>
      <c r="J398" s="59">
        <f>EDATE(G398-1,60)</f>
        <v>47993</v>
      </c>
      <c r="K398" s="9">
        <f>EDATE(H398-1,12*5)</f>
        <v>47626</v>
      </c>
    </row>
    <row r="399" spans="1:11" x14ac:dyDescent="0.25">
      <c r="A399" s="11">
        <v>24911673</v>
      </c>
      <c r="B399" t="s">
        <v>1080</v>
      </c>
      <c r="C399" t="s">
        <v>1081</v>
      </c>
      <c r="D399" s="40" t="s">
        <v>1082</v>
      </c>
      <c r="G399" s="71">
        <v>45832</v>
      </c>
      <c r="I399" s="11"/>
      <c r="J399" s="59">
        <f>EDATE(G399-1,60)</f>
        <v>47657</v>
      </c>
      <c r="K399" s="9" t="e">
        <f>EDATE(H399-1,12*5)</f>
        <v>#NUM!</v>
      </c>
    </row>
    <row r="400" spans="1:11" x14ac:dyDescent="0.25">
      <c r="A400" s="11">
        <v>776257575881</v>
      </c>
      <c r="B400" t="s">
        <v>1091</v>
      </c>
      <c r="C400" t="s">
        <v>1083</v>
      </c>
      <c r="D400" s="40" t="s">
        <v>775</v>
      </c>
      <c r="G400" s="67" t="s">
        <v>513</v>
      </c>
      <c r="H400" s="47">
        <v>45842</v>
      </c>
      <c r="I400" s="11"/>
      <c r="J400" s="77" t="s">
        <v>513</v>
      </c>
      <c r="K400" s="9">
        <f>EDATE(H400-1,12*5)</f>
        <v>47667</v>
      </c>
    </row>
    <row r="401" spans="1:11" x14ac:dyDescent="0.25">
      <c r="A401" s="11">
        <v>611076449402</v>
      </c>
      <c r="B401" t="s">
        <v>1102</v>
      </c>
      <c r="C401" t="s">
        <v>1084</v>
      </c>
      <c r="D401" s="40" t="s">
        <v>775</v>
      </c>
      <c r="G401" s="67" t="s">
        <v>513</v>
      </c>
      <c r="H401" s="47">
        <v>45841</v>
      </c>
      <c r="I401" s="11"/>
      <c r="J401" s="77" t="s">
        <v>513</v>
      </c>
      <c r="K401" s="9">
        <f>EDATE(H401-1,12*5)</f>
        <v>47666</v>
      </c>
    </row>
    <row r="402" spans="1:11" x14ac:dyDescent="0.25">
      <c r="A402" s="55">
        <v>58015123</v>
      </c>
      <c r="B402" s="48" t="s">
        <v>1085</v>
      </c>
      <c r="C402" s="40" t="s">
        <v>1086</v>
      </c>
      <c r="D402" s="40" t="s">
        <v>1087</v>
      </c>
      <c r="E402" s="48"/>
      <c r="G402" s="71">
        <v>45652</v>
      </c>
      <c r="H402" s="47"/>
      <c r="I402" s="11"/>
      <c r="J402" s="59">
        <f>EDATE(G402-1,60)</f>
        <v>47477</v>
      </c>
      <c r="K402" s="9" t="e">
        <f>EDATE(H402-1,12*5)</f>
        <v>#NUM!</v>
      </c>
    </row>
    <row r="403" spans="1:11" x14ac:dyDescent="0.25">
      <c r="A403" s="55">
        <v>58013939</v>
      </c>
      <c r="B403" s="48" t="s">
        <v>1088</v>
      </c>
      <c r="C403" s="48" t="s">
        <v>1089</v>
      </c>
      <c r="D403" s="40" t="s">
        <v>1087</v>
      </c>
      <c r="E403" s="48"/>
      <c r="G403" s="71">
        <v>45324</v>
      </c>
      <c r="H403" s="47"/>
      <c r="I403" s="11"/>
      <c r="J403" s="59">
        <f>EDATE(G403-1,60)</f>
        <v>47150</v>
      </c>
      <c r="K403" s="9" t="e">
        <f>EDATE(H403-1,12*5)</f>
        <v>#NUM!</v>
      </c>
    </row>
    <row r="404" spans="1:11" x14ac:dyDescent="0.25">
      <c r="B404" s="3" t="s">
        <v>1090</v>
      </c>
      <c r="C404" s="3" t="s">
        <v>1091</v>
      </c>
      <c r="D404" s="1" t="s">
        <v>1087</v>
      </c>
      <c r="G404" s="71">
        <v>45563</v>
      </c>
      <c r="H404" s="47"/>
      <c r="I404" s="11"/>
      <c r="J404" s="59">
        <f>EDATE(G404-1,60)</f>
        <v>47388</v>
      </c>
      <c r="K404" s="9" t="e">
        <f>EDATE(H404-1,12*5)</f>
        <v>#NUM!</v>
      </c>
    </row>
    <row r="405" spans="1:11" x14ac:dyDescent="0.25">
      <c r="A405" s="50">
        <v>58013944</v>
      </c>
      <c r="B405" s="29" t="s">
        <v>1092</v>
      </c>
      <c r="C405" s="29" t="s">
        <v>1093</v>
      </c>
      <c r="D405" s="37" t="s">
        <v>1087</v>
      </c>
      <c r="E405" s="37"/>
      <c r="H405" s="47">
        <v>45561</v>
      </c>
      <c r="I405" s="11"/>
      <c r="J405" s="59" t="s">
        <v>513</v>
      </c>
      <c r="K405" s="9">
        <f>EDATE(H405-1,12*5)</f>
        <v>47386</v>
      </c>
    </row>
    <row r="406" spans="1:11" x14ac:dyDescent="0.25">
      <c r="A406" s="56">
        <v>24910077</v>
      </c>
      <c r="B406" s="37" t="s">
        <v>1094</v>
      </c>
      <c r="C406" s="37" t="s">
        <v>1095</v>
      </c>
      <c r="D406" s="37" t="s">
        <v>1087</v>
      </c>
      <c r="E406" s="37"/>
      <c r="H406" s="47"/>
      <c r="I406" s="11"/>
      <c r="J406" s="59" t="s">
        <v>513</v>
      </c>
      <c r="K406" s="9" t="s">
        <v>513</v>
      </c>
    </row>
    <row r="407" spans="1:11" x14ac:dyDescent="0.25">
      <c r="A407" s="56">
        <v>24911516</v>
      </c>
      <c r="B407" s="37" t="s">
        <v>1096</v>
      </c>
      <c r="C407" s="37" t="s">
        <v>1097</v>
      </c>
      <c r="D407" s="37" t="s">
        <v>1087</v>
      </c>
      <c r="E407" s="37"/>
      <c r="G407" s="70">
        <v>45373</v>
      </c>
      <c r="H407" s="47"/>
      <c r="I407" s="11"/>
      <c r="J407" s="59">
        <f>EDATE(G407-1,60)</f>
        <v>47198</v>
      </c>
      <c r="K407" s="9" t="s">
        <v>513</v>
      </c>
    </row>
    <row r="408" spans="1:11" x14ac:dyDescent="0.25">
      <c r="A408" s="57">
        <v>58014556</v>
      </c>
      <c r="B408" s="1" t="s">
        <v>1098</v>
      </c>
      <c r="C408" s="1" t="s">
        <v>1099</v>
      </c>
      <c r="D408" s="37" t="s">
        <v>1087</v>
      </c>
      <c r="E408" s="1"/>
      <c r="G408" s="71">
        <v>45563</v>
      </c>
      <c r="H408" s="47">
        <v>45563</v>
      </c>
      <c r="I408" s="11"/>
      <c r="J408" s="59">
        <f>EDATE(G408-1,60)</f>
        <v>47388</v>
      </c>
      <c r="K408" s="9">
        <f>EDATE(H408-1,12*5)</f>
        <v>47388</v>
      </c>
    </row>
    <row r="409" spans="1:11" x14ac:dyDescent="0.25">
      <c r="B409" s="3" t="s">
        <v>1100</v>
      </c>
      <c r="C409" s="3" t="s">
        <v>1084</v>
      </c>
      <c r="D409" s="1" t="s">
        <v>1087</v>
      </c>
      <c r="G409" s="71">
        <v>45841</v>
      </c>
      <c r="H409" s="47">
        <v>45880</v>
      </c>
      <c r="I409" s="11"/>
      <c r="J409" s="59">
        <f>EDATE(G409-1,60)</f>
        <v>47666</v>
      </c>
      <c r="K409" s="9">
        <f>EDATE(H409-1,12*5)</f>
        <v>47705</v>
      </c>
    </row>
    <row r="410" spans="1:11" x14ac:dyDescent="0.25">
      <c r="B410" s="3" t="s">
        <v>1101</v>
      </c>
      <c r="C410" s="3" t="s">
        <v>1083</v>
      </c>
      <c r="D410" s="1" t="s">
        <v>1087</v>
      </c>
      <c r="G410" s="71">
        <v>45842</v>
      </c>
      <c r="I410" s="11"/>
      <c r="J410" s="59">
        <f>EDATE(G410-1,60)</f>
        <v>47667</v>
      </c>
      <c r="K410" s="9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Pd Tanti</dc:creator>
  <cp:lastModifiedBy>Dinesh Pd Tanti</cp:lastModifiedBy>
  <dcterms:created xsi:type="dcterms:W3CDTF">2026-08-19T05:07:10Z</dcterms:created>
  <dcterms:modified xsi:type="dcterms:W3CDTF">2026-08-19T05:09:53Z</dcterms:modified>
</cp:coreProperties>
</file>